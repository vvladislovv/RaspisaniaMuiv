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FILE2\df\umo\Расписание\2026-2027 уч.г\Осенний семестр\Колледж\Расписание\"/>
    </mc:Choice>
  </mc:AlternateContent>
  <bookViews>
    <workbookView xWindow="-105" yWindow="-105" windowWidth="23250" windowHeight="14010" tabRatio="609" activeTab="2"/>
  </bookViews>
  <sheets>
    <sheet name="4к 9 кл, 3к 11 кл" sheetId="1" r:id="rId1"/>
    <sheet name="3к 9 кл, 2к 11 кл" sheetId="2" r:id="rId2"/>
    <sheet name="2к 9 кл, 1к 11 кл" sheetId="3" r:id="rId3"/>
    <sheet name="2к 11 кл, 2к 9 кл" sheetId="4" r:id="rId4"/>
    <sheet name="1к 11 кл" sheetId="6" r:id="rId5"/>
    <sheet name="1к 9 кл" sheetId="5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6" l="1"/>
  <c r="A31" i="3"/>
  <c r="A26" i="3"/>
  <c r="A21" i="3"/>
  <c r="A16" i="3"/>
  <c r="A11" i="3"/>
  <c r="L31" i="6"/>
  <c r="L26" i="6"/>
  <c r="L21" i="6"/>
  <c r="L16" i="6"/>
  <c r="L11" i="6"/>
  <c r="L6" i="6"/>
  <c r="A6" i="6"/>
  <c r="D5" i="6"/>
  <c r="D5" i="2" l="1"/>
  <c r="U31" i="5" l="1"/>
  <c r="A31" i="5"/>
  <c r="U26" i="5"/>
  <c r="A26" i="5"/>
  <c r="U21" i="5"/>
  <c r="A21" i="5"/>
  <c r="U16" i="5"/>
  <c r="A16" i="5"/>
  <c r="U11" i="5"/>
  <c r="A11" i="5"/>
  <c r="U6" i="5"/>
  <c r="A6" i="5"/>
  <c r="D5" i="5"/>
  <c r="P31" i="4"/>
  <c r="P26" i="4"/>
  <c r="A26" i="4"/>
  <c r="P21" i="4"/>
  <c r="A21" i="4"/>
  <c r="P16" i="4"/>
  <c r="P11" i="4"/>
  <c r="A11" i="4"/>
  <c r="P6" i="4"/>
  <c r="D5" i="4"/>
  <c r="Q31" i="3"/>
  <c r="Q26" i="3"/>
  <c r="Q21" i="3"/>
  <c r="Q16" i="3"/>
  <c r="Q11" i="3"/>
  <c r="Q6" i="3"/>
  <c r="A6" i="3"/>
  <c r="D5" i="3"/>
  <c r="R31" i="2"/>
  <c r="A31" i="2"/>
  <c r="R26" i="2"/>
  <c r="A26" i="2"/>
  <c r="R21" i="2"/>
  <c r="A21" i="2"/>
  <c r="R16" i="2"/>
  <c r="A16" i="2"/>
  <c r="R11" i="2"/>
  <c r="A11" i="2"/>
  <c r="R6" i="2"/>
  <c r="A6" i="2"/>
  <c r="H31" i="1"/>
  <c r="H26" i="1"/>
  <c r="H21" i="1"/>
  <c r="H16" i="1"/>
  <c r="H11" i="1"/>
  <c r="H6" i="1"/>
</calcChain>
</file>

<file path=xl/sharedStrings.xml><?xml version="1.0" encoding="utf-8"?>
<sst xmlns="http://schemas.openxmlformats.org/spreadsheetml/2006/main" count="1241" uniqueCount="403">
  <si>
    <t>День недели</t>
  </si>
  <si>
    <t>Время</t>
  </si>
  <si>
    <t>Пара</t>
  </si>
  <si>
    <t>8:20-09:50</t>
  </si>
  <si>
    <t>10:00-11:30</t>
  </si>
  <si>
    <t>12:05-13:35</t>
  </si>
  <si>
    <t>13:45-15:15</t>
  </si>
  <si>
    <t>15:25-16:55</t>
  </si>
  <si>
    <t>РЕК-23-09</t>
  </si>
  <si>
    <t>ФК-24-11</t>
  </si>
  <si>
    <t>КБо 141-23</t>
  </si>
  <si>
    <t>КБсп 221-24</t>
  </si>
  <si>
    <t>ФИН-25-11</t>
  </si>
  <si>
    <t>БУХ-25-11</t>
  </si>
  <si>
    <t>ИСП/П-25-11</t>
  </si>
  <si>
    <t>РЕК-25-11</t>
  </si>
  <si>
    <t>ДИЗ-25-11</t>
  </si>
  <si>
    <t>ФК-25-11</t>
  </si>
  <si>
    <t>ПВНК-25-11</t>
  </si>
  <si>
    <t>к/о/к ФИН 25-11</t>
  </si>
  <si>
    <t>к/о/к БУХ 25-11</t>
  </si>
  <si>
    <t>к/о/к РЕК 25-11</t>
  </si>
  <si>
    <t>к/о/к ДИЗ 25-11</t>
  </si>
  <si>
    <t>к/о/к ФК 25-11</t>
  </si>
  <si>
    <t>к/о/к ПВНК 25-11</t>
  </si>
  <si>
    <t>1 неделя</t>
  </si>
  <si>
    <t>БАД 26-09</t>
  </si>
  <si>
    <t>БУХ 26-09</t>
  </si>
  <si>
    <t>ДИЗ 26-09</t>
  </si>
  <si>
    <t>ДО 26-09</t>
  </si>
  <si>
    <t>ОДЛ 26-09</t>
  </si>
  <si>
    <t>ТД 26-09</t>
  </si>
  <si>
    <t>ФИН 26-09</t>
  </si>
  <si>
    <t>ЮР/со 26-09</t>
  </si>
  <si>
    <t>ЮР/са 26-09</t>
  </si>
  <si>
    <t>РЕК 26-09</t>
  </si>
  <si>
    <t>ФК 26-09</t>
  </si>
  <si>
    <t>КВД 26-09</t>
  </si>
  <si>
    <t>КСК 26-09</t>
  </si>
  <si>
    <t>РУПО 26-09</t>
  </si>
  <si>
    <t>ТЭСИС 26-09</t>
  </si>
  <si>
    <t>ИРПТИИ 26-09</t>
  </si>
  <si>
    <t>ВЕБ 26-09</t>
  </si>
  <si>
    <t>Понедельник  31.08.2026</t>
  </si>
  <si>
    <t>Вторник 01.09.2026</t>
  </si>
  <si>
    <t>Четверг 03.09.2026</t>
  </si>
  <si>
    <t>Среда 02.09.2026</t>
  </si>
  <si>
    <t>Пятница 04.09.2026</t>
  </si>
  <si>
    <t>Суббота 05.09.2026</t>
  </si>
  <si>
    <t>ДИЗ 26-11</t>
  </si>
  <si>
    <t>ДО 26-11</t>
  </si>
  <si>
    <t>ОИБАС 26-11</t>
  </si>
  <si>
    <t>БАД-25-11
БАД-24-09</t>
  </si>
  <si>
    <t>к/о/к БАД 25-11
КБо 41-24</t>
  </si>
  <si>
    <t>БАД 26-11
БАД-25-09</t>
  </si>
  <si>
    <t>к/о/к БАД 26-11
к/о/к БАД 25-09</t>
  </si>
  <si>
    <t>к/о/к БУХ 26-11
к/о/к БУХ 25-09</t>
  </si>
  <si>
    <t>БУХ 26-11
БУХ-25-09</t>
  </si>
  <si>
    <t>к/о/к ИСП/р 25-11
КБо 111р-24</t>
  </si>
  <si>
    <t>ИСП/Р-25-11
ИСП/Р-24-09</t>
  </si>
  <si>
    <t>КСК-25-11
КСК-24-09</t>
  </si>
  <si>
    <t>к/о/к КСК 25-11
КБо 191-24</t>
  </si>
  <si>
    <t>к/о/к КСК 26-11
к/о/к КСК 25-09</t>
  </si>
  <si>
    <t>КСК 26-11
КСК-25-09</t>
  </si>
  <si>
    <t>ОДЛ-25-11
ОДЛ-24-09</t>
  </si>
  <si>
    <t>к/о/к ОДЛ 25-11
КБо 121-24</t>
  </si>
  <si>
    <t>к/о/к ОДЛ 26-11
к/о/к ОДЛ 25-09.2</t>
  </si>
  <si>
    <t>ОДЛ 26-11
ОДЛ-25-09</t>
  </si>
  <si>
    <t>к/о/к ПВНК 26-11
к/о/к ПВНК 25-09</t>
  </si>
  <si>
    <t>ПВНК 26-11
ПВНК-25-09</t>
  </si>
  <si>
    <t>РЕК 26-11
РЕК-25-09</t>
  </si>
  <si>
    <t>к/о/к РЕК 26-11
к/о/к РЕК 25-09.3</t>
  </si>
  <si>
    <t>к/о/к ТД 25-11
КБо 211-24</t>
  </si>
  <si>
    <t>ТД-25-11
ТД-24-09</t>
  </si>
  <si>
    <t>ТД 26-11
ТД-25-09</t>
  </si>
  <si>
    <t>к/о/к ФИН 26-11
к/о/к ФИН 25-09</t>
  </si>
  <si>
    <t>ФИН 26-11
ФИН-25-09</t>
  </si>
  <si>
    <t>к/о/к ЮР/са 25-11
КБо 232са-24</t>
  </si>
  <si>
    <t>ЮР/са-25-11
ЮР/са-24-09</t>
  </si>
  <si>
    <t>к/о/к ЮР/са 26-11
к/о/к ЮР/са 25-09.2</t>
  </si>
  <si>
    <t>ЮР/са 26-11
ЮР/са-25-09</t>
  </si>
  <si>
    <t>к/о/к ЮР/со 25-11
КБо 231со-24</t>
  </si>
  <si>
    <t>ЮР/со-25-11
ЮР/со-24-09</t>
  </si>
  <si>
    <t>к/о/к ЮР/со 26-11
к/о/к ЮР/со 25-09</t>
  </si>
  <si>
    <t>ЮР/со 26-11
ЮР/со-25-09</t>
  </si>
  <si>
    <t>КБсп 111п-24
КБо 111п-23
КБо 112п-23</t>
  </si>
  <si>
    <t>ИСП/П-24-11
ИСП/П-23-09</t>
  </si>
  <si>
    <t>КБсп 111р-24
КБо 111р-23</t>
  </si>
  <si>
    <t>ИСП/Р-24-11
ИСП/Р-23-09</t>
  </si>
  <si>
    <t>ФИН-24-09</t>
  </si>
  <si>
    <t>КБо 21-24</t>
  </si>
  <si>
    <t>РЕК-24-09</t>
  </si>
  <si>
    <t>КБо 141-24</t>
  </si>
  <si>
    <t>БУХ-24-09</t>
  </si>
  <si>
    <t>КБо 51-24</t>
  </si>
  <si>
    <t>ИСП/П-24-09</t>
  </si>
  <si>
    <t>КБо 111п-24</t>
  </si>
  <si>
    <t>к/о/к ИСП/п 25-11</t>
  </si>
  <si>
    <t>ИСП/Р-25-09</t>
  </si>
  <si>
    <t>к/о/к ИСП/р 25-09</t>
  </si>
  <si>
    <t>Среда  02.09.2026</t>
  </si>
  <si>
    <t>ТОРАС 26-11</t>
  </si>
  <si>
    <t>ВЕБ 26-11</t>
  </si>
  <si>
    <t>ИРПТИИ 26-11</t>
  </si>
  <si>
    <t>ТЭСИС 26-11</t>
  </si>
  <si>
    <t>РУПО 26-11</t>
  </si>
  <si>
    <t>КВД 26-11</t>
  </si>
  <si>
    <t>ТИК 26-11</t>
  </si>
  <si>
    <t>ФК 26-11</t>
  </si>
  <si>
    <t>ИСП/П-25-09.1</t>
  </si>
  <si>
    <t>ИСП/П-25-09.2</t>
  </si>
  <si>
    <t>к/о/к ИСП/п 25-09.1</t>
  </si>
  <si>
    <t>к/о/к ИСП/п 25-09.2</t>
  </si>
  <si>
    <t>Специальность: Информационные системы и программирование [09.02.07] Программист</t>
  </si>
  <si>
    <t>Специальность: Информационные системы и программирование [09.02.07] Разработчик веб и мультимедийных приложений</t>
  </si>
  <si>
    <t>Специальность: Реклама [42.02.01] Базовая</t>
  </si>
  <si>
    <t>Специальность: Физическая культура [49.02.01] Базовая</t>
  </si>
  <si>
    <t>Специальность: Банковское дело [38.02.07] Базовая</t>
  </si>
  <si>
    <t>Специальность: Компьютерные системы и комплексы [09.02.01] Базовая</t>
  </si>
  <si>
    <t>Специальность: Операционная деятельность в логистике [38.02.03] Базовая</t>
  </si>
  <si>
    <t>Специальность: Торговое дело [38.02.08] Базовая</t>
  </si>
  <si>
    <t>Специальность: Юриспруденция [40.02.04] Базовая</t>
  </si>
  <si>
    <t>Специальность: Финансы [38.02.06] Базовая</t>
  </si>
  <si>
    <t>Специальность: Экономика и бухгалтерский учет (по отраслям) [38.02.01] Базовая</t>
  </si>
  <si>
    <t>Специальность: Преподавание в начальных классах [44.02.02] Базовая</t>
  </si>
  <si>
    <t>Специальность: Дизайн (по отраслям) [54.02.01] Базовая</t>
  </si>
  <si>
    <t>История (школа)
Григорян Виталий Дмитриевич
ауд.</t>
  </si>
  <si>
    <t>Специальность: Веб-разработка [09.02.09] Базовая</t>
  </si>
  <si>
    <t>Специальность: Дошкольное образование [44.02.01] Базовая</t>
  </si>
  <si>
    <t>Специальность: Интеграция решений с применением технологий искусственного интеллекта [09.02.13] Базовая</t>
  </si>
  <si>
    <t>Специальность: Конгрессно-выставочная деятельность [38.02.09] Базовая</t>
  </si>
  <si>
    <t>Специальность: Обеспечение информационной безопасности автоматизированных систем [10.02.05] Базовая</t>
  </si>
  <si>
    <t>Специальность: Торговое дело [38.02.08] Товароведение и продажа потребительских товаров</t>
  </si>
  <si>
    <t>Специальность: Техническое обслуживание и ремонт автотранспортных средств [23.02.07] Базовая</t>
  </si>
  <si>
    <t>Специальность: Техническая эксплуатация и сопровождение информационных систем [09.02.12] Базовая</t>
  </si>
  <si>
    <t>Специальность: Разработка и управление программным обеспечением [09.02.11] Базовая</t>
  </si>
  <si>
    <t>Специальность: Технологии индустрии красоты [43.02.17] Базовая</t>
  </si>
  <si>
    <t>Стандартизация, сертификация и техническое документоведение
Соломин Максим Сергеевич
ауд. 531 ГК</t>
  </si>
  <si>
    <t>Поддержка и тестирование программных модулей
Соломин Максим Сергеевич
ауд. 531 ГК</t>
  </si>
  <si>
    <t>Базовые и новые виды физкультурно-спортивной деятельности
Степаненко Юлия Витальевна
ауд. 307</t>
  </si>
  <si>
    <t>Кассовые операции банка
Протасова Людмила Валерьевна
ауд. 107</t>
  </si>
  <si>
    <t>Основы проектирования цифровой техники
Шамов Артём Варельевич
ауд. 118 ГК</t>
  </si>
  <si>
    <t>Транспортная логистика
Петракова Екатерина Валерьевна
ауд. 206</t>
  </si>
  <si>
    <t>Оценка качества и основы экспертизы потребительских товаров
Митерова Елена Валерьевна
ауд. 105</t>
  </si>
  <si>
    <t>Уголовный процесс
Тофан Алина Васильевна
ауд. 204</t>
  </si>
  <si>
    <t>Уголовное право
Рянжина Юлия Андреевна
ауд. 201</t>
  </si>
  <si>
    <t>Гражданское право
Рянжина Юлия Андреевна
ауд. 201</t>
  </si>
  <si>
    <t>Основы финансового планирования в государственных (муниципальных) учреждениях
Давтян Анна Юрьевна
ауд. 102</t>
  </si>
  <si>
    <t>Финансово-экономический механизм государственных закупок
Давтян Анна Юрьевна
ауд. 102</t>
  </si>
  <si>
    <t>Стратегии продвижения бренда в сети Интернет
Любиченко Анна Андреевна
ауд. 303</t>
  </si>
  <si>
    <t>Разработка и реализация рекламных кампаний бренда в сети Интернет инструм. поиск. оптимизации, кон.-медий. рек. и маркет. в социальных сетях
Любиченко Анна Андреевна
ауд. 303</t>
  </si>
  <si>
    <t>Основы проектирования баз данных
Сулейманов Ильмир Ильдусович
ауд. 108 ГК</t>
  </si>
  <si>
    <t>Теоретические и методические основы преподавания иностранного языка в начальной школе
Ялышева Александра Геннадьевна
ауд. 312</t>
  </si>
  <si>
    <t>Возрастная анатомия, физиология и гигиена
Гордиенко Ольга Николаевна
ауд. 119 ГК</t>
  </si>
  <si>
    <t>Методика обучения предмету "Физическая культура"
Гордиенко Ольга Николаевна
ауд. 119 ГК</t>
  </si>
  <si>
    <t>Основы алгоритмизации и программирования
Шамова Анастасия Владимировна
ауд. 521 ГК</t>
  </si>
  <si>
    <t>Информационные технологии/Адаптивные информационные технологии
Шамов Артём Варельевич
ауд. 118 ГК</t>
  </si>
  <si>
    <t>Оптимизация веб-приложений
Соломин Максим Сергеевич
ауд. 531 ГК</t>
  </si>
  <si>
    <t>Системное программирование
Шамова Анастасия Владимировна
ауд. 521 ГК</t>
  </si>
  <si>
    <t>Правовое обеспечение профессиональной деятельности
Тофан Алина Васильевна
ауд. 204</t>
  </si>
  <si>
    <t>Теоретические и прикладные аспекты методической работы в области физической культуры и спорта
Степаненко Юлия Витальевна
ауд. 307</t>
  </si>
  <si>
    <t>Бухгалтерский учет
Протасова Людмила Валерьевна
ауд. 107</t>
  </si>
  <si>
    <t>Физическая культура/Адаптивная физическая культура
Заборских Артём Эдуардович
ауд. спортзал</t>
  </si>
  <si>
    <t>Техника и технологии рекламного видео
Васьковская Татьяна Александровна
ауд. 305</t>
  </si>
  <si>
    <t>Основы философии
Набиуллина Диляра Альбертовна
ауд. 104</t>
  </si>
  <si>
    <t>Проектирование и разработка интерфейсов пользователя
Чагиров Артур Олегович
ауд. 109 ГК</t>
  </si>
  <si>
    <t>Физическая культура/Адаптивная физическая культура
Заборских Артём Эдуардович
ауд. Спортзал</t>
  </si>
  <si>
    <t>Моделирование логистических систем
Петракова Екатерина Валерьевна
ауд. 206</t>
  </si>
  <si>
    <t>Управление ассортиментом товаров
Митерова Елена Валерьевна
ауд. 105</t>
  </si>
  <si>
    <t>Судоустройство и правоохранительные органы
Виноградов Никита Владиславович
ауд. 303</t>
  </si>
  <si>
    <t>Право социального обеспечения
Рянжина Юлия Андреевна
ауд. 201</t>
  </si>
  <si>
    <t>Финансы организаций
Давтян Анна Юрьевна
ауд. 102</t>
  </si>
  <si>
    <t>Финансовый контроль деятельности экономического субъекта
Протасова Людмила Валерьевна
ауд. 107</t>
  </si>
  <si>
    <t>Налоги и налогообложение
Давтян Анна Юрьевна
ауд. 102</t>
  </si>
  <si>
    <t>Налоговый контроль и администрирование
Давтян Анна Юрьевна
ауд. 102</t>
  </si>
  <si>
    <t>Информационные технологии в профессиональной деятельности
Акишин Максим Витальевич
ауд. 210</t>
  </si>
  <si>
    <t>Экономика отрасли
Митерова Елена Валерьевна
ауд. 105</t>
  </si>
  <si>
    <t>Численные методы
Абрамова Татьяна Викторовна
ауд. 202 ГК</t>
  </si>
  <si>
    <t>Методика преподавания по дополнительным общеразвивающим программам в области физической культуры спорта
Степаненко Юлия Витальевна
ауд. 307</t>
  </si>
  <si>
    <t>Основы предпринимательской деятельности
Гужов Виктор Владимирович
ауд. 320 ГК</t>
  </si>
  <si>
    <t>Менеджмент в профессиональной деятельности
Гужов Виктор Владимирович
ауд. 320 ГК</t>
  </si>
  <si>
    <t>Стратегии продвижения бренда в сети Интернет
Любиченко Анна Андреевна
ауд. 323 ГК</t>
  </si>
  <si>
    <t>Разработка и реализация рекламных кампаний бренда в сети Интернет инструм. поиск. оптимизации, кон.-медий. рек. и маркет. в социальных сетях
Любиченко Анна Андреевна
ауд. 323 ГК</t>
  </si>
  <si>
    <t>Разработка и реализация рекламных кампаний бренда в сети Интернет инструм. поиск. оптимизации, кон.-медий. рек. и маркет. в социальных сетях
Репина Ольга Владимировна
ауд. 326 ГК</t>
  </si>
  <si>
    <t>Основы организации внеурочной деятельности
Глущенко Марина Валерьевна
ауд. 314</t>
  </si>
  <si>
    <t>Иностранный язык в профессиональной деятельности
Макеев Данила Сергеевич
ауд. 319 ГК</t>
  </si>
  <si>
    <t>Выполнение дизайнерских проектов в материале
Лебедева Катерина Владимировна
ауд. 308</t>
  </si>
  <si>
    <t>Материаловедение
Лебедева Катерина Владимировна
ауд. 308</t>
  </si>
  <si>
    <t>Информационные технологии/Адаптивные информационные технологии
Шамов Артём Варельевич
ауд. 507 ГК</t>
  </si>
  <si>
    <t>Элементы высшей математики
Абрамова Татьяна Викторовна
ауд. 202 ГК</t>
  </si>
  <si>
    <t>Организационно-методические основы физкультурно-спортивной работы
Заборских Артём Эдуардович
ауд. Спортзал</t>
  </si>
  <si>
    <t>Операционные системы и среды
Сулейманов Ильмир Ильдусович
ауд. 108 ГК</t>
  </si>
  <si>
    <t>Финансы организации
Блесткина Ольга Владимировна
ауд. 321 ГК</t>
  </si>
  <si>
    <t>Статистика
Блесткина Ольга Владимировна
ауд. 321 ГК</t>
  </si>
  <si>
    <t>Экономика организации
Блесткина Ольга Владимировна
ауд. 321 ГК</t>
  </si>
  <si>
    <t>История России
Гоголев Николай Борисович
ауд. 431 ГК</t>
  </si>
  <si>
    <t>Технология выполнения работ по должности служащего 20002 Агент банка
Протасова Людмила Валерьевна
ауд. 107</t>
  </si>
  <si>
    <t>Дизайн-проектирование
Любиченко Анна Андреевна
ауд. 323 ГК</t>
  </si>
  <si>
    <t>Основы проектной и компьютерной графики
Любиченко Анна Андреевна
ауд. 323 ГК</t>
  </si>
  <si>
    <t>Физическая культура
Наташкин Степан Алексеевич
ауд. спортзал</t>
  </si>
  <si>
    <t>Физическая культура
Наташкин Степан Алексеевич
ауд. Спортзал</t>
  </si>
  <si>
    <t>Теоретические и методические основы физического воспитания и развития детей раннего и дошкольного возраста
Глущенко Марина Валерьевна
ауд. 314</t>
  </si>
  <si>
    <t>Основы возрастной и педагогической психологии
Глущенко Марина Валерьевна
ауд. 314</t>
  </si>
  <si>
    <t>Русский язык и культура речи
Митерова Евгения Анатольевна
ауд. 108</t>
  </si>
  <si>
    <t>Организация торгово-сбытовой деятельности на внутреннем и внешнем рынках
Репина Ольга Владимировна
ауд. 326 ГК</t>
  </si>
  <si>
    <t>История России
Григорян Виталий Дмитриевич
ауд. 312</t>
  </si>
  <si>
    <t>Иностранный язык в профессиональной деятельности
Ялышева Александра Геннадьевна
ауд. 322 ГК</t>
  </si>
  <si>
    <t>История России
Винокур Константин Владимирович
ауд. 315 ГК</t>
  </si>
  <si>
    <t>Правовое и документационное обеспечение контрольно-надзорной деятельности в финансовой сфере
Виноградов Никита Владиславович
ауд. 303</t>
  </si>
  <si>
    <t>Основы бережливого производства
Петракова Екатерина Валерьевна
ауд. 206</t>
  </si>
  <si>
    <t>Основы композиции, рисунка, живописи в рекламе
Васьковская Татьяна Александровна
ауд. 305</t>
  </si>
  <si>
    <t>Теоретические основы организации обучения в начальных классах
Гарманова Анна Юрьевна
ауд. 316 ГК</t>
  </si>
  <si>
    <t>Русский язык и культура профессиональной коммуникации педагога
Гарманова Анна Юрьевна
ауд. 316 ГК</t>
  </si>
  <si>
    <t>Техническое обслуживание и ремонт аппаратной части компьютерных систем и комплексов
Шамов Артём Варельевич
ауд. 507 ГК</t>
  </si>
  <si>
    <t>Настройка и обеспечение функционирования программных средств компьютерных систем и комплексов
Шамов Артём Варельевич
ауд. 507 ГК</t>
  </si>
  <si>
    <t>Основы алгоритмизации и программирования
Шамов Артём Варельевич
ауд. 507 ГК</t>
  </si>
  <si>
    <t>Информационные технологии
Туркин Дмитрий Валерьевич
ауд. 509 ГК</t>
  </si>
  <si>
    <t>Конституционное право России
Рянжина Юлия Андреевна
ауд. 201</t>
  </si>
  <si>
    <t>Компьютерные сети
Чагиров Артур Олегович
ауд. 109 ГК</t>
  </si>
  <si>
    <t>Базы данных
Соломин Максим Сергеевич
ауд. 531 ГК</t>
  </si>
  <si>
    <t>Основы работы с информацией
Акишин Максим Витальевич
ауд. 210</t>
  </si>
  <si>
    <t>Основы информационной безопасности
Акишин Максим Витальевич
ауд. 210</t>
  </si>
  <si>
    <t>Базовые и новые виды физкультурно-спортивной деятельности: гимнастика
Гордиенко Ольга Николаевна
ауд. 119 ГК</t>
  </si>
  <si>
    <t>Базовые и новые виды физкультурно-спортивной деятельности: легкая атлетика
Гордиенко Ольга Николаевна
ауд. 119 ГК</t>
  </si>
  <si>
    <t>Анатомия и физиология человека
Гордиенко Ольга Николаевна
ауд. 119 ГК</t>
  </si>
  <si>
    <t>История (школа)
Гоголев Николай Борисович
ауд. 431 ГК</t>
  </si>
  <si>
    <t>Обществознание
Гоголев Николай Борисович
ауд. 431 ГК</t>
  </si>
  <si>
    <t>Информатика
Акишин Максим Витальевич
ауд. 210</t>
  </si>
  <si>
    <t>Основы безопасности и защиты Родины
Ильченко Александр Владимирович
ауд. 110</t>
  </si>
  <si>
    <t>Иностранный язык
Кармалинская Мария Дмитриевна
ауд. 310</t>
  </si>
  <si>
    <t>Химия
Зюзюкин Михаил Юрьевич
ауд. 503 ГК</t>
  </si>
  <si>
    <t>Физическая культура (школа)
Наташкин Степан Алексеевич
ауд. Спортзал</t>
  </si>
  <si>
    <t>Иностранный язык
Макеев Данила Сергеевич
ауд. 319 ГК</t>
  </si>
  <si>
    <t>Математика
Кирилаева Мария Александровна
ауд. 208</t>
  </si>
  <si>
    <t>Иностранный язык (школа)
Макеев Данила Сергеевич
ауд. 319 ГК</t>
  </si>
  <si>
    <t>История
Винокур Константин Владимирович
ауд. 315 ГК</t>
  </si>
  <si>
    <t>Обществознание
Набиуллина Диляра Альбертовна
ауд. 104</t>
  </si>
  <si>
    <t>Литература
Гарманова Анна Юрьевна
ауд. 316 ГК</t>
  </si>
  <si>
    <t>Русский язык
Гарманова Анна Юрьевна
ауд. 316 ГК</t>
  </si>
  <si>
    <t>Иностранный язык (школа)
Кармалинская Мария Дмитриевна
ауд. 310</t>
  </si>
  <si>
    <t>Физика
Тимофеев Олег Алексеевич
ауд. 515 ГК</t>
  </si>
  <si>
    <t>Информатика
Туркин Дмитрий Валерьевич
ауд. 509 ГК</t>
  </si>
  <si>
    <t>Основы безопасности и защиты Родины
Гамалей Евгений Юрьевич
ауд. 110</t>
  </si>
  <si>
    <t>Основы безопасности и защиты Родины
Гамалей Евгений Юрьевич
ауд. 208</t>
  </si>
  <si>
    <t>География
Зюзюкина Тамара Сергеевна
ауд. 108</t>
  </si>
  <si>
    <t>География
Зюзюкина Тамара Сергеевна
ауд. 118 ГК</t>
  </si>
  <si>
    <t>Правовое обеспечение профессиональной деятельности
Виноградов Никита Владиславович
ауд. 303</t>
  </si>
  <si>
    <t>Проектирование и разработка веб-приложений
Соломин Максим Сергеевич
ауд. 531 ГК</t>
  </si>
  <si>
    <t>Обеспечение безопасности веб-приложений
Акишин Максим Витальевич
ауд. 210</t>
  </si>
  <si>
    <t>Проектирование и разработка интерфейсов пользователя
Чагиров Артур Олегович
ауд. 505 ГК</t>
  </si>
  <si>
    <t>Разработка и прототипирование цифровых систем
Шамов Артём Варельевич
ауд. 118 ГК</t>
  </si>
  <si>
    <t>Основы электротехники и электронной техники
Шамов Артём Варельевич
ауд. 118 ГК</t>
  </si>
  <si>
    <t>Метрология и электротехнические измерения
Шамов Артём Варельевич
ауд. 118 ГК</t>
  </si>
  <si>
    <t>Логистика сервисного обслуживания
Верилов Александр Анатольевич
ауд. 319 ГК</t>
  </si>
  <si>
    <t>Основы предпринимательства
Гужов Виктор Владимирович
ауд. 320 ГК</t>
  </si>
  <si>
    <t>Судебное делопроизводство
Виноградов Никита Владиславович
ауд. 303</t>
  </si>
  <si>
    <t>Основы финансового планирования в организациях
Давтян Анна Юрьевна
ауд. 102</t>
  </si>
  <si>
    <t>Иностранный язык в профессиональной деятельности
Макеев Данила Сергеевич
ауд. 316 ГК</t>
  </si>
  <si>
    <t>Инструментальные средства разработки программного обеспечения
Шамова Анастасия Владимировна
ауд. 521 ГК</t>
  </si>
  <si>
    <t>Физическая культура
Гордиенко Ольга Николаевна
ауд.спортзал</t>
  </si>
  <si>
    <t>Основы конструкторско-технологического обеспечения дизайна
Лебедева Катерина Владимировна
ауд. 308</t>
  </si>
  <si>
    <t>Живопись с основами цветоведения
Лебедева Катерина Владимировна
ауд. 308</t>
  </si>
  <si>
    <t>Основы бережливого производства
Блесткина Ольга Владимировна
ауд. 321 ГК</t>
  </si>
  <si>
    <t>Финансы, денежное обращение и кредит
Блесткина Ольга Владимировна
ауд. 321 ГК</t>
  </si>
  <si>
    <t>Иностранный язык в профессиональной деятельности
Кармалинская Мария Дмитриевна
ауд. 310</t>
  </si>
  <si>
    <t>Основы бухгалтерского учета
Протасова Людмила Валерьевна
ауд. 107</t>
  </si>
  <si>
    <t>История
Григорян Виталий Дмитриевич
ауд. 312</t>
  </si>
  <si>
    <t>Теоретические и методические основы физического воспитания и развития детей раннего и дошкольного возраста
Глущенко Марина Валерьевна
ауд. 110</t>
  </si>
  <si>
    <t>Основы педагогики
Глущенко Марина Валерьевна
ауд. 110</t>
  </si>
  <si>
    <t>Теоретические основы начального курса математики с методикой преподавания
Глущенко Марина Валерьевна
ауд. 110</t>
  </si>
  <si>
    <t>Современные программы и технологии воспитания обучающихся начальных классов
Глущенко Марина Валерьевна
ауд. 110</t>
  </si>
  <si>
    <t>Основы логистической деятельности
Верилов Александр Анатольевич
ауд. 319 ГК</t>
  </si>
  <si>
    <t>Складская логистика
Верилов Александр Анатольевич
ауд. 319 ГК</t>
  </si>
  <si>
    <t>Информационное обеспечение логистических процессов
Верилов Александр Анатольевич
ауд. 319 ГК</t>
  </si>
  <si>
    <t>Статистика
Давтян Анна Юрьевна
ауд. 102</t>
  </si>
  <si>
    <t>Информационные технологии
Туркин Дмитрий Валерьевич
ауд. 109 ГК</t>
  </si>
  <si>
    <t>Физическая культура
Заборских Артём Эдуардович
ауд. Спортзал</t>
  </si>
  <si>
    <t>Теория государства и права
Тофан Алина Васильевна
ауд. 204</t>
  </si>
  <si>
    <t>Проектирование информационных ресурсов
Чагиров Артур Олегович
ауд. 505 ГК</t>
  </si>
  <si>
    <t>Архитектура аппаратных средств
Туркин Дмитрий Валерьевич
ауд. 109 ГК</t>
  </si>
  <si>
    <t>Базовые и новые виды физкультурно-спортивной деятельности: туризм
Степаненко Юлия Витальевна
ауд. 307</t>
  </si>
  <si>
    <t>Базовые и новые виды физкультурно-спортивной деятельности: спортивные игры
Степаненко Юлия Витальевна
ауд. 307</t>
  </si>
  <si>
    <t>Обществознание
Винокур Константин Владимирович
ауд. 315 ГК</t>
  </si>
  <si>
    <t>История (школа)
Григорян Виталий Дмитриевич
ауд. 312</t>
  </si>
  <si>
    <t>Математика (школа)
Козлова Ольга Викторовна
ауд. 104</t>
  </si>
  <si>
    <t>Обществознание
Набиуллина Диляра Альбертовна
ауд. 314</t>
  </si>
  <si>
    <t>Литература
Митерова Евгения Анатольевна
ауд. 108</t>
  </si>
  <si>
    <t>Русский язык
Митерова Евгения Анатольевна
ауд. 108</t>
  </si>
  <si>
    <t>Математика
Статник Наталья Алексеевна
ауд. 322 ГК</t>
  </si>
  <si>
    <t>Информатика
Туркин Дмитрий Валерьевич
ауд. 109 ГК</t>
  </si>
  <si>
    <t>География
Зюзюкина Тамара Сергеевна
ауд. 503 ГК</t>
  </si>
  <si>
    <t>Основы безопасности и защиты Родины
Ильченко Александр Владимирович
ауд. 515 ГК</t>
  </si>
  <si>
    <t>География
Зюзюкина Тамара Сергеевна
ауд. 314</t>
  </si>
  <si>
    <t>География
Зюзюкина Тамара Сергеевна
ауд. 119 ГК</t>
  </si>
  <si>
    <t>Основы безопасности и защиты Родины
Гамалей Евгений Юрьевич
ауд. 315 ГК</t>
  </si>
  <si>
    <t>Основы безопасности и защиты Родины
Гамалей Евгений Юрьевич
ауд. 326 ГК</t>
  </si>
  <si>
    <t>Иностранный язык в профессиональной деятельности
Ялышева Александра Геннадьевна
ауд. 119 ГК</t>
  </si>
  <si>
    <t>Менеджмент и экономические основы рекламной деятельности
Гужов Виктор Владимирович
ауд. 316 ГК</t>
  </si>
  <si>
    <t>Разработка прикладных приложений
Шамов Артём Варельевич
ауд. 118 ГК</t>
  </si>
  <si>
    <t>Логистика сервисного обслуживания
Верилов Александр Анатольевич
ауд. 320 ГК</t>
  </si>
  <si>
    <t>Основы предпринимательской деятельности
Гужов Виктор Владимирович
ауд. 316 ГК</t>
  </si>
  <si>
    <t>Теоретические и методические основы деятельности классного руководителя
Глущенко Марина Валерьевна
ауд. 110</t>
  </si>
  <si>
    <t>Основы организации внеурочной деятельности
Глущенко Марина Валерьевна
ауд. 110</t>
  </si>
  <si>
    <t>Физическая культура
Гордиенко Ольга Николаевна
ауд. Спортзал</t>
  </si>
  <si>
    <t>Теоретические и методические основы преподавания иностранного языка в начальной школе
Ялышева Александра Геннадьевна
ауд. 119 ГК</t>
  </si>
  <si>
    <t>Организация и методика проведения физкультурно-оздоровительных занятий и занятий по виду спорта с населением различных возрастных групп
Степаненко Юлия Витальевна
ауд. 307</t>
  </si>
  <si>
    <t>Организационно-методические основы физкультурно-спортивной работы
Заборских Артём Эдуардович
ауд. 314</t>
  </si>
  <si>
    <t>Методика обучения предмету "Физическая культура"
Гордиенко Ольга Николаевна
ауд. 314</t>
  </si>
  <si>
    <t>Психология общения
Набиуллина Диляра Альбертовна
ауд. 102</t>
  </si>
  <si>
    <t>Русский язык и культура профессиональной коммуникации педагога
Гарманова Анна Юрьевна
ауд. 322 ГК</t>
  </si>
  <si>
    <t>Русский (Родной) язык и культура профессиональной коммуникации
Гарманова Анна Юрьевна
ауд. 322 ГК</t>
  </si>
  <si>
    <t>Информационное обеспечение логистических процессов
Верилов Александр Анатольевич
ауд. 320 ГК</t>
  </si>
  <si>
    <t>Логистика закупок
Верилов Александр Анатольевич
ауд. 320 ГК</t>
  </si>
  <si>
    <t>Прикладные компьютерные программы в профессиональной деятельности
Шамова Анастасия Владимировна
ауд. 521 ГК</t>
  </si>
  <si>
    <t>Цели и задачи рекламных и коммуникационных кампаний, акций и мероприятий
Ларионов Даниил Александрович
ауд. 305</t>
  </si>
  <si>
    <t>Анализ целевой аудитории, рынка и конкурентов
Ларионов Даниил Александрович
ауд. 305</t>
  </si>
  <si>
    <t>Операционные системы
Сулейманов Ильмир Ильдусович
ауд. 108 ГК</t>
  </si>
  <si>
    <t>Информационные технологии в профессиональной деятельности
Туркин Дмитрий Валерьевич
ауд. 109 ГК</t>
  </si>
  <si>
    <t>Базовые и новые виды физкультурно-спортивной деятельности: гимнастика
Гордиенко Ольга Николаевна
ауд. Спортзал</t>
  </si>
  <si>
    <t>Базовые и новые виды физкультурно-спортивной деятельности: легкая атлетика
Гордиенко Ольга Николаевна
ауд. Спортзал</t>
  </si>
  <si>
    <t>Информатика и информационно-коммуникационные технологии в профессиональной деятельности
Туркин Дмитрий Валерьевич
ауд. 109 ГК</t>
  </si>
  <si>
    <t>Математика
Кирилаева Мария Александровна
ауд. 206</t>
  </si>
  <si>
    <t>Обществознание
Набиуллина Диляра Альбертовна
ауд. 102</t>
  </si>
  <si>
    <t>Математика
Статник Наталья Алексеевна
ауд. 107</t>
  </si>
  <si>
    <t>Литература
Гарманова Анна Юрьевна
ауд. 322 ГК</t>
  </si>
  <si>
    <t>Русский язык
Гарманова Анна Юрьевна
ауд. 322 ГК</t>
  </si>
  <si>
    <t>География
Зюзюкина Тамара Сергеевна
ауд. 208</t>
  </si>
  <si>
    <t>Основы безопасности и защиты Родины
Ильченко Александр Владимирович
ауд. 323 ГК</t>
  </si>
  <si>
    <t>Проектирование и разработка интерфейсов пользователя
Чагиров Артур Олегович
ауд. 507 ГК</t>
  </si>
  <si>
    <t>Технология продаж потребительских товаров и координация работы с клиентами
Верилов Александр Анатольевич
ауд. 320 ГК</t>
  </si>
  <si>
    <t>Информационные технологии в юридической деятельности
Туркин Дмитрий Валерьевич
ауд. 109 ГК</t>
  </si>
  <si>
    <t>Финансово-экономический механизм закупок для государственных, муниципальных и корпоративных нужд
Давтян Анна Юрьевна
ауд. 102</t>
  </si>
  <si>
    <t>Разработка и реализация рекламных кампаний бренда в сети Интернет инструм. поиск. оптимизации, кон.-медий. рек. и маркет. в социальных сетях
Репина Ольга Владимировна
ауд. 201</t>
  </si>
  <si>
    <t>Стратегии продвижения бренда в сети Интернет
Любиченко Анна Андреевна
ауд. 314</t>
  </si>
  <si>
    <t>Иностранный язык в профессиональной деятельности
Ялышева Александра Геннадьевна
ауд. 303</t>
  </si>
  <si>
    <t>Русский язык с методикой преподавания
Гарманова Анна Юрьевна
ауд. 208</t>
  </si>
  <si>
    <t>Русский язык и культура речи
Гарманова Анна Юрьевна
ауд. 208</t>
  </si>
  <si>
    <t>Основы бережливого производства
Блесткина Ольга Владимировна
ауд. 310</t>
  </si>
  <si>
    <t>Финансы организации
Блесткина Ольга Владимировна
ауд. 310</t>
  </si>
  <si>
    <t>Экономика организации
Блесткина Ольга Владимировна
ауд. 310</t>
  </si>
  <si>
    <t>История России
Гоголев Николай Борисович
ауд. 119 ГК</t>
  </si>
  <si>
    <t>Математика
Козлова Ольга Викторовна
ауд. 104</t>
  </si>
  <si>
    <t>Дизайн-проектирование
Любиченко Анна Андреевна
ауд. 314</t>
  </si>
  <si>
    <t>Основы проектной и компьютерной графики
Любиченко Анна Андреевна
ауд. 314</t>
  </si>
  <si>
    <t>Складская логистика
Верилов Александр Анатольевич
ауд. 320 ГК</t>
  </si>
  <si>
    <t>Основы логистической деятельности
Верилов Александр Анатольевич
ауд. 320 ГК</t>
  </si>
  <si>
    <t>Организация торгово-сбытовой деятельности на внутреннем и внешнем рынках
Репина Ольга Владимировна
ауд. 201</t>
  </si>
  <si>
    <t>Цели и задачи рекламных и коммуникационных кампаний, акций и мероприятий
Ларионов Даниил Александрович
ауд. 312</t>
  </si>
  <si>
    <t>Анализ целевой аудитории, рынка и конкурентов
Ларионов Даниил Александрович
ауд. 312</t>
  </si>
  <si>
    <t>Теоретические основы организации обучения в начальных классах
Гарманова Анна Юрьевна
ауд. 208</t>
  </si>
  <si>
    <t>Проектирование информационных ресурсов
Чагиров Артур Олегович
ауд. 507 ГК</t>
  </si>
  <si>
    <t>Компьютерные сети
Чагиров Артур Олегович
ауд. 507 ГК</t>
  </si>
  <si>
    <t>Информационное обеспечение профессиональной деятельности
Сузгаев Александр Александрович
ауд. 509 ГК</t>
  </si>
  <si>
    <t>История (школа)
Гоголев Николай Борисович
ауд. 119 ГК</t>
  </si>
  <si>
    <t>История (школа)
Винокур Константин Владимирович
ауд. 117 ГК</t>
  </si>
  <si>
    <t>Химия
Зюзюкин Михаил Юрьевич
ауд.503 ГК</t>
  </si>
  <si>
    <t>Обществознание
Винокур Константин Владимирович
ауд. 117 ГК</t>
  </si>
  <si>
    <t>Математика
Статник Наталья Алексеевна
ауд. 110</t>
  </si>
  <si>
    <t>к/о/к РЕК 25-09.1</t>
  </si>
  <si>
    <t>РЕК 25-09.1</t>
  </si>
  <si>
    <t>РЕК 25-09.2</t>
  </si>
  <si>
    <t>к/о/к РЕК 25-09.2</t>
  </si>
  <si>
    <t>ЮР/са 25-09.1</t>
  </si>
  <si>
    <t>к/о/к ТД 26-11
к/о/к ТД 25-09.1</t>
  </si>
  <si>
    <t>ТД 25-09.2</t>
  </si>
  <si>
    <t>к/о/к ТД 25-09.2</t>
  </si>
  <si>
    <t>ОДЛ 25-09.1</t>
  </si>
  <si>
    <t>Анализ целевой аудитории, рынка и конкурентов
Ларионов Даниил Александрович
ауд. ВЕБИНАР</t>
  </si>
  <si>
    <t>Цели и задачи рекламных и коммуникационных кампаний, акций и мероприятий
Ларионов Даниил Александрович
ауд. ВЕБИНАР</t>
  </si>
  <si>
    <t>Основы композиции, рисунка, живописи в рекламе
Васьковская Татьяна Александровна
ауд. ВЕБИНАР</t>
  </si>
  <si>
    <t>История России
Гоголев Николай Борисович
ауд. 108</t>
  </si>
  <si>
    <t>География
Зюзюкина Тамара Сергеевна
ауд. 312</t>
  </si>
  <si>
    <t>Основы безопасности и защиты Родины
Гамалей Евгений Юрьевич
ауд. 314  ГК</t>
  </si>
  <si>
    <t>Вторник  01.09.2026</t>
  </si>
  <si>
    <t>к/о/к ОДЛ 25-09</t>
  </si>
  <si>
    <t>к/о/к ЮР/са 25-09</t>
  </si>
  <si>
    <t>Системное программирование
Шамова Анастасия Владимировна
ауд. 520 ГК</t>
  </si>
  <si>
    <t>Инструментальные средства разработки программного обеспечения
Шамова Анастасия Владимировна
ауд. 520 ГК</t>
  </si>
  <si>
    <t>Технология разработки программного обеспечения
Шамова Анастасия Владимировна
ауд. 520 ГК</t>
  </si>
  <si>
    <t>Основы алгоритмизации и программирования
Шамова Анастасия Владимировна
ауд. 520 ГК</t>
  </si>
  <si>
    <t>Поддержка и тестирование программных модулей
Соломин Максим Сергеевич
ауд. 505 ГК</t>
  </si>
  <si>
    <t>Оптимизация веб-приложений
Соломин Максим Сергеевич
ауд. 505 ГК</t>
  </si>
  <si>
    <t>Стандартизация, сертификация и техническое документоведение
Соломин Максим Сергеевич
ауд. 505 ГК</t>
  </si>
  <si>
    <t>Разработка программных модулей в системах искусственного интеллекта
Соломин Максим Сергеевич
ауд. 505 ГК</t>
  </si>
  <si>
    <t>Мастер-класс с работодателем по специальности «Экономика и бухгалтерский учет», «Финансы»
ООО «Русаудит»
Смирнова Светлана 
Заместитель руководителя 
ауд. 117 ГК</t>
  </si>
  <si>
    <t>Мастер-класс с работодателем по специальности «Экономика и бухгалтерский учет», «Финансы»
ООО «Русаудит»
Смирнова Светлана 
Заместитель руководителя
ауд. 117 ГК</t>
  </si>
  <si>
    <t>Мастер- класс с работодателем по специальности «Экономика и бухгалтерский учет», «Финансы»
ООО «Русаудит»
Смирнова Светлана 
Заместитель руководителя 
ауд. 117 ГК</t>
  </si>
  <si>
    <t>Управление ассортиментом товаров
Митерова Елена Валерьевна
ауд. ВЕБИНАР</t>
  </si>
  <si>
    <t>Оценка качества и основы экспертизы потребительских товаров
Митерова Елена Валерьевна
ауд. ВЕБИНАР</t>
  </si>
  <si>
    <t>Технология разработки программного обеспечения
Шамова Анастасия Владимировна
ауд. ВЕБИНАР</t>
  </si>
  <si>
    <t>Экономика отрасли
Митерова Елена Валерьевна
ауд. ВЕБИНАР</t>
  </si>
  <si>
    <t>Мастер-класс с работодателем по специальности 
«Конгрессно-выставочная деятельность»
ПО АНО «Академия МАКСИМУМ»
Хвостов Александр 
Директор по связям с образовательным сообществом
Организатор выставки
 «Навигатор поступления»
ауд. 105</t>
  </si>
  <si>
    <t>Мастер-класс с работодателем по специальности «Специалист по работе с искусственным интеллектом» 
 SEO Performance Agency
Мятов Михаил Александрович Совладелец, Инвестор в ИИ
ауд. 117 ГК</t>
  </si>
  <si>
    <t>Мастер- класс с работодателем по специальности «Торговое дело»
ООО «Топфранчайз»
Протасова Марина Валерьевна
Руководитель отдела разработки франшиз
ауд. 213 ГК</t>
  </si>
  <si>
    <t>Мастер-класс с работодателем по специальности «Торговое дело»
ООО «Топфранчайз»
Протасова Марина Валерьевна
Руководитель отдела разработки франшиз
ауд. 213 ГК</t>
  </si>
  <si>
    <t>Выполнение дизайнерских проектов в материале
Лебедева Катерина Владимировна
ауд. ВЕБИНАР</t>
  </si>
  <si>
    <t>Живопись с основами цветоведения
Лебедева Катерина Владимировна
ауд. ВЕБИНАР</t>
  </si>
  <si>
    <t>Рекламная деятельность
Лебедева Катерина Владимировна
ауд. ВЕБИНАР</t>
  </si>
  <si>
    <t>Мастер-класс с работодателем для специальности «Логистика»
ГК "АЛЬФАРМА-М"
Баканов Александр Николаевич 
Руководитель компаний в сфере здравоохранения, логистики и оптовой торговли, заместитель председателя комитета по здравоохранению партии «Новые люди». 
 ауд. 315 ГК</t>
  </si>
  <si>
    <t>Мастер-класс с работодателем для специальности «Логистика» 
ГК "АЛЬФАРМА-М"
Баканов Александр Николаевич 
Руководитель компаний в сфере здравоохранения, логистики и оптовой торговли, заместитель председателя комитета по здравоохранению партии «Новые люди». 
 ауд. 315 ГК</t>
  </si>
  <si>
    <t>Основы бережливого производства
Петракова Екатерина Валерьевна
ауд. ВЕБИНАР</t>
  </si>
  <si>
    <t>История России
Григорян Виталий Дмитриевич
ауд. ВЕБИНАР</t>
  </si>
  <si>
    <t>Мастер-класс с работодателем по специальности «Специалист по технической эксплуатации и сопровождению информационных систем», «Техник по защите информации», «Компьютерные системы и комплексы», «Разработчик веб-приложений», «Программист»
Государственная Корпорация по атомной энергии «РосАтом»
Машиностроительный дивизион 
Дмитрий Морозов 
Руководитель 
Интеграция ИИ в управление бизнес процессов 
ауд. 117 ГК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</si>
</sst>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8"/>
      <color indexed="8"/>
      <name val="Tahoma"/>
      <family val="2"/>
      <charset val="204"/>
    </font>
    <font>
      <sz val="14"/>
      <color theme="1"/>
      <name val="Calibri"/>
      <family val="2"/>
      <charset val="204"/>
      <scheme val="minor"/>
    </font>
    <font>
      <sz val="14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8"/>
      <name val="Calibri"/>
      <family val="2"/>
      <charset val="204"/>
      <scheme val="minor"/>
    </font>
    <font>
      <b/>
      <sz val="22"/>
      <name val="Calibri"/>
      <family val="2"/>
      <charset val="204"/>
      <scheme val="minor"/>
    </font>
    <font>
      <b/>
      <sz val="24"/>
      <name val="Calibri"/>
      <family val="2"/>
      <charset val="204"/>
      <scheme val="minor"/>
    </font>
    <font>
      <sz val="2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36"/>
      <name val="Calibri"/>
      <family val="2"/>
      <charset val="204"/>
      <scheme val="minor"/>
    </font>
    <font>
      <b/>
      <sz val="26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22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6" fillId="0" borderId="0" xfId="0" applyFont="1"/>
    <xf numFmtId="0" fontId="10" fillId="0" borderId="0" xfId="0" applyFont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center" vertical="center" textRotation="255" wrapText="1"/>
    </xf>
    <xf numFmtId="0" fontId="11" fillId="0" borderId="8" xfId="0" applyFont="1" applyBorder="1" applyAlignment="1">
      <alignment horizontal="center" vertical="center" textRotation="90" wrapText="1"/>
    </xf>
    <xf numFmtId="0" fontId="11" fillId="0" borderId="18" xfId="0" applyFont="1" applyBorder="1" applyAlignment="1">
      <alignment horizontal="center" vertical="center" textRotation="255" wrapText="1"/>
    </xf>
    <xf numFmtId="0" fontId="11" fillId="0" borderId="3" xfId="0" applyFont="1" applyBorder="1" applyAlignment="1">
      <alignment horizontal="center" vertical="center" textRotation="90" wrapText="1"/>
    </xf>
    <xf numFmtId="0" fontId="11" fillId="0" borderId="12" xfId="0" applyFont="1" applyBorder="1" applyAlignment="1">
      <alignment horizontal="center" vertical="center" textRotation="255" wrapText="1"/>
    </xf>
    <xf numFmtId="0" fontId="11" fillId="0" borderId="11" xfId="0" applyFont="1" applyBorder="1" applyAlignment="1">
      <alignment horizontal="center" vertical="center" textRotation="90" wrapText="1"/>
    </xf>
    <xf numFmtId="0" fontId="11" fillId="0" borderId="13" xfId="0" applyFont="1" applyBorder="1" applyAlignment="1">
      <alignment horizontal="center" vertical="center" textRotation="255" wrapText="1"/>
    </xf>
    <xf numFmtId="0" fontId="11" fillId="0" borderId="15" xfId="0" applyFont="1" applyBorder="1" applyAlignment="1">
      <alignment horizontal="center" vertical="center" textRotation="90" wrapText="1"/>
    </xf>
    <xf numFmtId="0" fontId="11" fillId="0" borderId="24" xfId="0" applyFont="1" applyBorder="1" applyAlignment="1">
      <alignment horizontal="center" vertical="center" textRotation="255" wrapText="1"/>
    </xf>
    <xf numFmtId="0" fontId="8" fillId="0" borderId="17" xfId="0" applyFont="1" applyBorder="1"/>
    <xf numFmtId="0" fontId="8" fillId="0" borderId="5" xfId="0" applyFont="1" applyBorder="1"/>
    <xf numFmtId="0" fontId="12" fillId="0" borderId="3" xfId="0" applyFont="1" applyBorder="1" applyAlignment="1">
      <alignment horizontal="center" vertical="center" textRotation="90" wrapText="1"/>
    </xf>
    <xf numFmtId="0" fontId="12" fillId="0" borderId="12" xfId="0" applyFont="1" applyBorder="1" applyAlignment="1">
      <alignment horizontal="center" vertical="center" textRotation="255" wrapText="1"/>
    </xf>
    <xf numFmtId="0" fontId="12" fillId="0" borderId="1" xfId="0" applyFont="1" applyBorder="1" applyAlignment="1">
      <alignment horizontal="center" vertical="center" textRotation="90" wrapText="1"/>
    </xf>
    <xf numFmtId="0" fontId="12" fillId="0" borderId="2" xfId="0" applyFont="1" applyBorder="1" applyAlignment="1">
      <alignment horizontal="center" vertical="center" textRotation="255" wrapText="1"/>
    </xf>
    <xf numFmtId="0" fontId="12" fillId="0" borderId="11" xfId="0" applyFont="1" applyBorder="1" applyAlignment="1">
      <alignment horizontal="center" vertical="center" textRotation="90" wrapText="1"/>
    </xf>
    <xf numFmtId="0" fontId="12" fillId="0" borderId="13" xfId="0" applyFont="1" applyBorder="1" applyAlignment="1">
      <alignment horizontal="center" vertical="center" textRotation="255" wrapText="1"/>
    </xf>
    <xf numFmtId="0" fontId="12" fillId="0" borderId="18" xfId="0" applyFont="1" applyBorder="1" applyAlignment="1">
      <alignment horizontal="center" vertical="center" textRotation="255" wrapText="1"/>
    </xf>
    <xf numFmtId="0" fontId="13" fillId="0" borderId="2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textRotation="90" wrapText="1"/>
    </xf>
    <xf numFmtId="0" fontId="14" fillId="0" borderId="12" xfId="0" applyFont="1" applyBorder="1" applyAlignment="1">
      <alignment horizontal="center" vertical="center" textRotation="255" wrapText="1"/>
    </xf>
    <xf numFmtId="0" fontId="13" fillId="0" borderId="1" xfId="0" applyFont="1" applyBorder="1" applyAlignment="1">
      <alignment horizontal="center" vertical="center" textRotation="90" wrapText="1"/>
    </xf>
    <xf numFmtId="0" fontId="14" fillId="0" borderId="2" xfId="0" applyFont="1" applyBorder="1" applyAlignment="1">
      <alignment horizontal="center" vertical="center" textRotation="255" wrapText="1"/>
    </xf>
    <xf numFmtId="0" fontId="13" fillId="0" borderId="11" xfId="0" applyFont="1" applyBorder="1" applyAlignment="1">
      <alignment horizontal="center" vertical="center" textRotation="90" wrapText="1"/>
    </xf>
    <xf numFmtId="0" fontId="14" fillId="0" borderId="13" xfId="0" applyFont="1" applyBorder="1" applyAlignment="1">
      <alignment horizontal="center" vertical="center" textRotation="255" wrapText="1"/>
    </xf>
    <xf numFmtId="0" fontId="8" fillId="0" borderId="22" xfId="0" applyFont="1" applyBorder="1"/>
    <xf numFmtId="0" fontId="12" fillId="0" borderId="29" xfId="0" applyFont="1" applyBorder="1" applyAlignment="1">
      <alignment horizontal="center" vertical="center" textRotation="90" wrapText="1"/>
    </xf>
    <xf numFmtId="0" fontId="11" fillId="0" borderId="3" xfId="0" applyFont="1" applyBorder="1" applyAlignment="1">
      <alignment horizontal="center" vertical="center" textRotation="255" wrapText="1"/>
    </xf>
    <xf numFmtId="0" fontId="14" fillId="0" borderId="18" xfId="0" applyFont="1" applyBorder="1" applyAlignment="1">
      <alignment horizontal="center" vertical="center" textRotation="255" wrapText="1"/>
    </xf>
    <xf numFmtId="0" fontId="10" fillId="0" borderId="22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textRotation="255" wrapText="1"/>
    </xf>
    <xf numFmtId="0" fontId="14" fillId="0" borderId="1" xfId="0" applyFont="1" applyBorder="1" applyAlignment="1">
      <alignment horizontal="center" vertical="center" textRotation="255" wrapText="1"/>
    </xf>
    <xf numFmtId="0" fontId="14" fillId="0" borderId="11" xfId="0" applyFont="1" applyBorder="1" applyAlignment="1">
      <alignment horizontal="center" vertical="center" textRotation="255" wrapText="1"/>
    </xf>
    <xf numFmtId="0" fontId="8" fillId="0" borderId="16" xfId="0" applyFont="1" applyBorder="1"/>
    <xf numFmtId="0" fontId="11" fillId="0" borderId="1" xfId="0" applyFont="1" applyBorder="1" applyAlignment="1">
      <alignment horizontal="center" vertical="center" textRotation="255" wrapText="1"/>
    </xf>
    <xf numFmtId="0" fontId="2" fillId="0" borderId="1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textRotation="255" wrapText="1"/>
    </xf>
    <xf numFmtId="0" fontId="12" fillId="0" borderId="3" xfId="0" applyFont="1" applyBorder="1" applyAlignment="1">
      <alignment horizontal="center" vertical="center" textRotation="255" wrapText="1"/>
    </xf>
    <xf numFmtId="0" fontId="10" fillId="0" borderId="2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textRotation="90" wrapText="1"/>
    </xf>
    <xf numFmtId="0" fontId="10" fillId="0" borderId="12" xfId="0" applyFont="1" applyBorder="1" applyAlignment="1">
      <alignment horizontal="center" vertical="center" textRotation="255" wrapText="1"/>
    </xf>
    <xf numFmtId="0" fontId="10" fillId="0" borderId="2" xfId="0" applyFont="1" applyBorder="1" applyAlignment="1">
      <alignment horizontal="center" vertical="center" textRotation="255" wrapText="1"/>
    </xf>
    <xf numFmtId="0" fontId="10" fillId="0" borderId="13" xfId="0" applyFont="1" applyBorder="1" applyAlignment="1">
      <alignment horizontal="center" vertical="center" textRotation="255" wrapText="1"/>
    </xf>
    <xf numFmtId="0" fontId="10" fillId="0" borderId="1" xfId="0" applyFont="1" applyBorder="1" applyAlignment="1">
      <alignment horizontal="center" vertical="center" textRotation="255" wrapText="1"/>
    </xf>
    <xf numFmtId="0" fontId="10" fillId="0" borderId="18" xfId="0" applyFont="1" applyBorder="1" applyAlignment="1">
      <alignment horizontal="center" vertical="center" textRotation="255" wrapText="1"/>
    </xf>
    <xf numFmtId="0" fontId="10" fillId="0" borderId="8" xfId="0" applyFont="1" applyBorder="1" applyAlignment="1">
      <alignment horizontal="center" vertical="center" textRotation="90" wrapText="1"/>
    </xf>
    <xf numFmtId="0" fontId="17" fillId="0" borderId="0" xfId="0" applyFont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top" wrapText="1"/>
    </xf>
    <xf numFmtId="0" fontId="10" fillId="3" borderId="18" xfId="0" applyFont="1" applyFill="1" applyBorder="1" applyAlignment="1">
      <alignment horizontal="center" vertical="top" wrapText="1"/>
    </xf>
    <xf numFmtId="0" fontId="12" fillId="4" borderId="2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3" xfId="0" applyFont="1" applyBorder="1" applyAlignment="1">
      <alignment horizontal="center" vertical="center" textRotation="90" wrapText="1"/>
    </xf>
    <xf numFmtId="0" fontId="10" fillId="0" borderId="5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textRotation="90" wrapText="1"/>
    </xf>
    <xf numFmtId="0" fontId="13" fillId="0" borderId="9" xfId="0" applyFont="1" applyBorder="1" applyAlignment="1">
      <alignment horizontal="center" vertical="center" textRotation="90" wrapText="1"/>
    </xf>
    <xf numFmtId="0" fontId="13" fillId="0" borderId="26" xfId="0" applyFont="1" applyBorder="1" applyAlignment="1">
      <alignment horizontal="center" vertical="center" textRotation="90" wrapText="1"/>
    </xf>
    <xf numFmtId="0" fontId="6" fillId="0" borderId="5" xfId="0" applyFont="1" applyBorder="1"/>
    <xf numFmtId="0" fontId="10" fillId="2" borderId="2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textRotation="255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textRotation="255" wrapText="1"/>
    </xf>
    <xf numFmtId="0" fontId="6" fillId="0" borderId="22" xfId="0" applyFont="1" applyBorder="1"/>
    <xf numFmtId="0" fontId="10" fillId="0" borderId="2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textRotation="255" wrapText="1"/>
    </xf>
    <xf numFmtId="0" fontId="1" fillId="0" borderId="22" xfId="0" applyFont="1" applyBorder="1" applyAlignment="1">
      <alignment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1" fillId="0" borderId="8" xfId="0" applyFont="1" applyBorder="1" applyAlignment="1">
      <alignment horizontal="center" vertical="center" textRotation="255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textRotation="90" wrapText="1"/>
    </xf>
    <xf numFmtId="0" fontId="12" fillId="0" borderId="16" xfId="0" applyFont="1" applyBorder="1" applyAlignment="1">
      <alignment horizontal="center" vertical="center" textRotation="90" wrapText="1"/>
    </xf>
    <xf numFmtId="0" fontId="12" fillId="0" borderId="17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textRotation="90" wrapText="1"/>
    </xf>
    <xf numFmtId="0" fontId="10" fillId="0" borderId="11" xfId="0" applyFont="1" applyBorder="1" applyAlignment="1">
      <alignment horizontal="center" vertical="center" textRotation="90" wrapText="1"/>
    </xf>
    <xf numFmtId="0" fontId="10" fillId="0" borderId="5" xfId="0" applyFont="1" applyBorder="1" applyAlignment="1">
      <alignment horizontal="center" vertical="center" textRotation="90" wrapText="1"/>
    </xf>
    <xf numFmtId="0" fontId="10" fillId="0" borderId="7" xfId="0" applyFont="1" applyBorder="1" applyAlignment="1">
      <alignment horizontal="center" vertical="center" textRotation="90" wrapText="1"/>
    </xf>
    <xf numFmtId="0" fontId="10" fillId="0" borderId="16" xfId="0" applyFont="1" applyBorder="1" applyAlignment="1">
      <alignment horizontal="center" vertical="center" textRotation="90" wrapText="1"/>
    </xf>
    <xf numFmtId="0" fontId="18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textRotation="90" wrapText="1"/>
    </xf>
    <xf numFmtId="0" fontId="13" fillId="0" borderId="18" xfId="0" applyFont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8" fillId="3" borderId="18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textRotation="90" wrapText="1"/>
    </xf>
    <xf numFmtId="0" fontId="9" fillId="0" borderId="11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textRotation="255" wrapText="1"/>
    </xf>
    <xf numFmtId="0" fontId="7" fillId="2" borderId="23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8" fillId="0" borderId="0" xfId="0" applyFont="1" applyBorder="1"/>
    <xf numFmtId="0" fontId="10" fillId="0" borderId="1" xfId="0" applyFont="1" applyBorder="1" applyAlignment="1">
      <alignment horizontal="center" vertical="center" textRotation="90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textRotation="90" wrapText="1"/>
    </xf>
    <xf numFmtId="0" fontId="0" fillId="0" borderId="5" xfId="0" applyBorder="1"/>
    <xf numFmtId="0" fontId="0" fillId="0" borderId="23" xfId="0" applyBorder="1"/>
    <xf numFmtId="0" fontId="12" fillId="0" borderId="13" xfId="0" applyFont="1" applyBorder="1" applyAlignment="1">
      <alignment horizontal="center" vertical="center" textRotation="90" wrapText="1"/>
    </xf>
    <xf numFmtId="0" fontId="0" fillId="0" borderId="16" xfId="0" applyBorder="1"/>
    <xf numFmtId="0" fontId="0" fillId="0" borderId="31" xfId="0" applyBorder="1"/>
    <xf numFmtId="14" fontId="12" fillId="0" borderId="10" xfId="0" applyNumberFormat="1" applyFont="1" applyBorder="1" applyAlignment="1">
      <alignment horizontal="center" vertical="center" textRotation="90" wrapText="1"/>
    </xf>
    <xf numFmtId="0" fontId="0" fillId="0" borderId="7" xfId="0" applyBorder="1"/>
    <xf numFmtId="0" fontId="0" fillId="0" borderId="34" xfId="0" applyBorder="1"/>
    <xf numFmtId="14" fontId="12" fillId="0" borderId="1" xfId="0" applyNumberFormat="1" applyFont="1" applyBorder="1" applyAlignment="1">
      <alignment horizontal="center" vertical="center" textRotation="90" wrapText="1"/>
    </xf>
    <xf numFmtId="0" fontId="0" fillId="0" borderId="1" xfId="0" applyBorder="1"/>
    <xf numFmtId="0" fontId="12" fillId="0" borderId="8" xfId="0" applyFont="1" applyBorder="1" applyAlignment="1">
      <alignment horizontal="center" vertical="center" textRotation="90" wrapText="1"/>
    </xf>
    <xf numFmtId="14" fontId="12" fillId="0" borderId="33" xfId="0" applyNumberFormat="1" applyFont="1" applyBorder="1" applyAlignment="1">
      <alignment horizontal="center" vertical="center" textRotation="90" wrapText="1"/>
    </xf>
    <xf numFmtId="0" fontId="0" fillId="0" borderId="14" xfId="0" applyBorder="1"/>
    <xf numFmtId="0" fontId="12" fillId="0" borderId="1" xfId="0" applyFont="1" applyBorder="1" applyAlignment="1">
      <alignment horizontal="center" vertical="center" textRotation="90" wrapText="1"/>
    </xf>
    <xf numFmtId="0" fontId="11" fillId="3" borderId="35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22" xfId="0" applyBorder="1"/>
    <xf numFmtId="0" fontId="11" fillId="0" borderId="11" xfId="0" applyFont="1" applyBorder="1" applyAlignment="1">
      <alignment horizontal="center" vertical="center" textRotation="90" wrapText="1"/>
    </xf>
    <xf numFmtId="14" fontId="11" fillId="0" borderId="6" xfId="0" applyNumberFormat="1" applyFont="1" applyBorder="1" applyAlignment="1">
      <alignment horizontal="center" vertical="center" textRotation="90" wrapText="1"/>
    </xf>
    <xf numFmtId="0" fontId="11" fillId="0" borderId="26" xfId="0" applyFont="1" applyBorder="1" applyAlignment="1">
      <alignment horizontal="center" vertical="center" textRotation="90" wrapText="1"/>
    </xf>
    <xf numFmtId="0" fontId="0" fillId="0" borderId="17" xfId="0" applyBorder="1"/>
    <xf numFmtId="14" fontId="11" fillId="0" borderId="10" xfId="0" applyNumberFormat="1" applyFont="1" applyBorder="1" applyAlignment="1">
      <alignment horizontal="center" vertical="center" textRotation="90" wrapText="1"/>
    </xf>
    <xf numFmtId="14" fontId="11" fillId="0" borderId="1" xfId="0" applyNumberFormat="1" applyFont="1" applyBorder="1" applyAlignment="1">
      <alignment horizontal="center" vertical="center" textRotation="90" wrapText="1"/>
    </xf>
    <xf numFmtId="0" fontId="20" fillId="3" borderId="8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19" xfId="0" applyBorder="1"/>
    <xf numFmtId="0" fontId="11" fillId="0" borderId="13" xfId="0" applyFont="1" applyBorder="1" applyAlignment="1">
      <alignment horizontal="center" vertical="center" textRotation="90" wrapText="1"/>
    </xf>
    <xf numFmtId="14" fontId="15" fillId="0" borderId="25" xfId="0" applyNumberFormat="1" applyFont="1" applyBorder="1" applyAlignment="1">
      <alignment horizontal="center" vertical="center" textRotation="90" wrapText="1"/>
    </xf>
    <xf numFmtId="0" fontId="0" fillId="0" borderId="27" xfId="0" applyBorder="1"/>
    <xf numFmtId="14" fontId="15" fillId="0" borderId="10" xfId="0" applyNumberFormat="1" applyFont="1" applyBorder="1" applyAlignment="1">
      <alignment horizontal="center" vertical="center" textRotation="90" wrapText="1"/>
    </xf>
    <xf numFmtId="0" fontId="14" fillId="0" borderId="13" xfId="0" applyFont="1" applyBorder="1" applyAlignment="1">
      <alignment horizontal="center" vertical="center" textRotation="90" wrapText="1"/>
    </xf>
    <xf numFmtId="0" fontId="14" fillId="0" borderId="11" xfId="0" applyFont="1" applyBorder="1" applyAlignment="1">
      <alignment horizontal="center" vertical="center" textRotation="90" wrapText="1"/>
    </xf>
    <xf numFmtId="0" fontId="14" fillId="0" borderId="26" xfId="0" applyFont="1" applyBorder="1" applyAlignment="1">
      <alignment horizontal="center" vertical="center" textRotation="90" wrapText="1"/>
    </xf>
    <xf numFmtId="0" fontId="0" fillId="0" borderId="28" xfId="0" applyBorder="1"/>
    <xf numFmtId="0" fontId="19" fillId="3" borderId="37" xfId="0" applyFont="1" applyFill="1" applyBorder="1" applyAlignment="1">
      <alignment horizontal="center" vertical="center" wrapText="1"/>
    </xf>
    <xf numFmtId="0" fontId="19" fillId="3" borderId="38" xfId="0" applyFont="1" applyFill="1" applyBorder="1" applyAlignment="1">
      <alignment horizontal="center" vertical="center" wrapText="1"/>
    </xf>
    <xf numFmtId="0" fontId="19" fillId="3" borderId="27" xfId="0" applyFont="1" applyFill="1" applyBorder="1" applyAlignment="1">
      <alignment horizontal="center" vertical="center" wrapText="1"/>
    </xf>
    <xf numFmtId="14" fontId="15" fillId="0" borderId="1" xfId="0" applyNumberFormat="1" applyFont="1" applyBorder="1" applyAlignment="1">
      <alignment horizontal="center" vertical="center" textRotation="90" wrapText="1"/>
    </xf>
    <xf numFmtId="14" fontId="15" fillId="0" borderId="6" xfId="0" applyNumberFormat="1" applyFont="1" applyBorder="1" applyAlignment="1">
      <alignment horizontal="center" vertical="center" textRotation="90" wrapText="1"/>
    </xf>
    <xf numFmtId="0" fontId="14" fillId="0" borderId="1" xfId="0" applyFont="1" applyBorder="1" applyAlignment="1">
      <alignment horizontal="center" vertical="center" textRotation="90" wrapText="1"/>
    </xf>
    <xf numFmtId="14" fontId="15" fillId="0" borderId="7" xfId="0" applyNumberFormat="1" applyFont="1" applyBorder="1" applyAlignment="1">
      <alignment horizontal="center" vertical="center" textRotation="90" wrapText="1"/>
    </xf>
    <xf numFmtId="14" fontId="10" fillId="0" borderId="1" xfId="0" applyNumberFormat="1" applyFont="1" applyBorder="1" applyAlignment="1">
      <alignment horizontal="center" vertical="center" textRotation="90" wrapText="1"/>
    </xf>
    <xf numFmtId="14" fontId="10" fillId="0" borderId="6" xfId="0" applyNumberFormat="1" applyFont="1" applyBorder="1" applyAlignment="1">
      <alignment horizontal="center" vertical="center" textRotation="90" wrapText="1"/>
    </xf>
    <xf numFmtId="0" fontId="10" fillId="0" borderId="4" xfId="0" applyFont="1" applyBorder="1" applyAlignment="1">
      <alignment horizontal="center" vertical="center" textRotation="90" wrapText="1"/>
    </xf>
    <xf numFmtId="14" fontId="10" fillId="0" borderId="10" xfId="0" applyNumberFormat="1" applyFont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 textRotation="90" wrapText="1"/>
    </xf>
    <xf numFmtId="0" fontId="10" fillId="0" borderId="2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textRotation="90" wrapText="1"/>
    </xf>
    <xf numFmtId="0" fontId="21" fillId="3" borderId="36" xfId="0" applyFont="1" applyFill="1" applyBorder="1" applyAlignment="1">
      <alignment horizontal="center" vertical="center" wrapText="1"/>
    </xf>
    <xf numFmtId="0" fontId="0" fillId="0" borderId="15" xfId="0" applyBorder="1"/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K36"/>
  <sheetViews>
    <sheetView zoomScale="64" zoomScaleNormal="64" workbookViewId="0">
      <pane xSplit="3" ySplit="3" topLeftCell="D29" activePane="bottomRight" state="frozen"/>
      <selection pane="topRight" activeCell="D1" sqref="D1"/>
      <selection pane="bottomLeft" activeCell="A4" sqref="A4"/>
      <selection pane="bottomRight" activeCell="F3" sqref="F3"/>
    </sheetView>
  </sheetViews>
  <sheetFormatPr defaultColWidth="9.140625" defaultRowHeight="15" x14ac:dyDescent="0.25"/>
  <cols>
    <col min="1" max="1" width="9.140625" customWidth="1"/>
    <col min="2" max="3" width="5.7109375" style="2" customWidth="1"/>
    <col min="4" max="4" width="68.5703125" style="83" customWidth="1"/>
    <col min="5" max="5" width="73.5703125" style="53" customWidth="1"/>
    <col min="6" max="6" width="72.140625" style="53" customWidth="1"/>
    <col min="7" max="7" width="63.85546875" style="53" customWidth="1"/>
    <col min="9" max="10" width="5.7109375" style="2" customWidth="1"/>
    <col min="11" max="11" width="9.140625" style="1" customWidth="1"/>
    <col min="12" max="16384" width="9.140625" style="1"/>
  </cols>
  <sheetData>
    <row r="1" spans="1:11" ht="31.5" customHeight="1" thickBot="1" x14ac:dyDescent="0.3">
      <c r="A1" s="171" t="s">
        <v>0</v>
      </c>
      <c r="B1" s="182" t="s">
        <v>1</v>
      </c>
      <c r="C1" s="174" t="s">
        <v>2</v>
      </c>
      <c r="D1" s="80" t="s">
        <v>86</v>
      </c>
      <c r="E1" s="80" t="s">
        <v>88</v>
      </c>
      <c r="F1" s="80" t="s">
        <v>8</v>
      </c>
      <c r="G1" s="80" t="s">
        <v>9</v>
      </c>
      <c r="H1" s="185" t="s">
        <v>0</v>
      </c>
      <c r="I1" s="171" t="s">
        <v>1</v>
      </c>
      <c r="J1" s="171" t="s">
        <v>2</v>
      </c>
    </row>
    <row r="2" spans="1:11" ht="39.75" customHeight="1" x14ac:dyDescent="0.25">
      <c r="A2" s="172"/>
      <c r="B2" s="172"/>
      <c r="C2" s="175"/>
      <c r="D2" s="84" t="s">
        <v>113</v>
      </c>
      <c r="E2" s="84" t="s">
        <v>114</v>
      </c>
      <c r="F2" s="84" t="s">
        <v>115</v>
      </c>
      <c r="G2" s="84" t="s">
        <v>116</v>
      </c>
      <c r="H2" s="181"/>
      <c r="I2" s="172"/>
      <c r="J2" s="172"/>
    </row>
    <row r="3" spans="1:11" ht="54.75" customHeight="1" x14ac:dyDescent="0.25">
      <c r="A3" s="172"/>
      <c r="B3" s="172"/>
      <c r="C3" s="175"/>
      <c r="D3" s="135" t="s">
        <v>85</v>
      </c>
      <c r="E3" s="135" t="s">
        <v>87</v>
      </c>
      <c r="F3" s="135" t="s">
        <v>10</v>
      </c>
      <c r="G3" s="135" t="s">
        <v>11</v>
      </c>
      <c r="H3" s="181"/>
      <c r="I3" s="172"/>
      <c r="J3" s="172"/>
    </row>
    <row r="4" spans="1:11" ht="16.5" customHeight="1" thickBot="1" x14ac:dyDescent="0.3">
      <c r="A4" s="173"/>
      <c r="B4" s="172"/>
      <c r="C4" s="176"/>
      <c r="D4" s="81">
        <v>51</v>
      </c>
      <c r="E4" s="81">
        <v>26</v>
      </c>
      <c r="F4" s="81">
        <v>25</v>
      </c>
      <c r="G4" s="81">
        <v>6</v>
      </c>
      <c r="H4" s="181"/>
      <c r="I4" s="173"/>
      <c r="J4" s="173"/>
    </row>
    <row r="5" spans="1:11" ht="27.75" customHeight="1" thickBot="1" x14ac:dyDescent="0.3">
      <c r="A5" s="114"/>
      <c r="B5" s="40"/>
      <c r="C5" s="113"/>
      <c r="D5" s="186" t="s">
        <v>25</v>
      </c>
      <c r="E5" s="187"/>
      <c r="F5" s="187"/>
      <c r="G5" s="188"/>
      <c r="H5" s="27"/>
      <c r="I5" s="112"/>
      <c r="J5" s="40"/>
    </row>
    <row r="6" spans="1:11" ht="77.25" customHeight="1" x14ac:dyDescent="0.25">
      <c r="A6" s="177" t="s">
        <v>43</v>
      </c>
      <c r="B6" s="25" t="s">
        <v>3</v>
      </c>
      <c r="C6" s="26">
        <v>1</v>
      </c>
      <c r="D6" s="3"/>
      <c r="E6" s="3"/>
      <c r="F6" s="3"/>
      <c r="G6" s="155"/>
      <c r="H6" s="180" t="str">
        <f>A6</f>
        <v>Понедельник  31.08.2026</v>
      </c>
      <c r="I6" s="25" t="s">
        <v>3</v>
      </c>
      <c r="J6" s="26">
        <v>1</v>
      </c>
      <c r="K6" s="53"/>
    </row>
    <row r="7" spans="1:11" ht="75" customHeight="1" x14ac:dyDescent="0.25">
      <c r="A7" s="178"/>
      <c r="B7" s="27" t="s">
        <v>4</v>
      </c>
      <c r="C7" s="28">
        <v>2</v>
      </c>
      <c r="D7" s="3"/>
      <c r="E7" s="3"/>
      <c r="F7" s="3"/>
      <c r="G7" s="155"/>
      <c r="H7" s="181"/>
      <c r="I7" s="27" t="s">
        <v>4</v>
      </c>
      <c r="J7" s="28">
        <v>2</v>
      </c>
      <c r="K7" s="53"/>
    </row>
    <row r="8" spans="1:11" ht="62.25" customHeight="1" x14ac:dyDescent="0.25">
      <c r="A8" s="178"/>
      <c r="B8" s="27" t="s">
        <v>5</v>
      </c>
      <c r="C8" s="28">
        <v>3</v>
      </c>
      <c r="D8" s="3"/>
      <c r="E8" s="3"/>
      <c r="F8" s="3"/>
      <c r="G8" s="155"/>
      <c r="H8" s="181"/>
      <c r="I8" s="27" t="s">
        <v>5</v>
      </c>
      <c r="J8" s="54">
        <v>3</v>
      </c>
    </row>
    <row r="9" spans="1:11" ht="83.25" customHeight="1" x14ac:dyDescent="0.25">
      <c r="A9" s="178"/>
      <c r="B9" s="27" t="s">
        <v>6</v>
      </c>
      <c r="C9" s="28">
        <v>4</v>
      </c>
      <c r="D9" s="166"/>
      <c r="E9" s="166"/>
      <c r="F9" s="3"/>
      <c r="G9" s="167"/>
      <c r="H9" s="181"/>
      <c r="I9" s="27" t="s">
        <v>6</v>
      </c>
      <c r="J9" s="28">
        <v>4</v>
      </c>
      <c r="K9" s="53"/>
    </row>
    <row r="10" spans="1:11" ht="87.75" customHeight="1" thickBot="1" x14ac:dyDescent="0.3">
      <c r="A10" s="179"/>
      <c r="B10" s="29" t="s">
        <v>7</v>
      </c>
      <c r="C10" s="30">
        <v>5</v>
      </c>
      <c r="D10" s="168"/>
      <c r="E10" s="168"/>
      <c r="F10" s="102"/>
      <c r="G10" s="169"/>
      <c r="H10" s="181"/>
      <c r="I10" s="29" t="s">
        <v>7</v>
      </c>
      <c r="J10" s="30">
        <v>5</v>
      </c>
      <c r="K10" s="53"/>
    </row>
    <row r="11" spans="1:11" ht="71.25" customHeight="1" x14ac:dyDescent="0.25">
      <c r="A11" s="177" t="s">
        <v>44</v>
      </c>
      <c r="B11" s="25" t="s">
        <v>3</v>
      </c>
      <c r="C11" s="26">
        <v>1</v>
      </c>
      <c r="D11" s="3"/>
      <c r="E11" s="3"/>
      <c r="F11" s="3"/>
      <c r="G11" s="155"/>
      <c r="H11" s="180" t="str">
        <f>A11</f>
        <v>Вторник 01.09.2026</v>
      </c>
      <c r="I11" s="25" t="s">
        <v>3</v>
      </c>
      <c r="J11" s="26">
        <v>1</v>
      </c>
      <c r="K11" s="53"/>
    </row>
    <row r="12" spans="1:11" ht="61.5" customHeight="1" x14ac:dyDescent="0.25">
      <c r="A12" s="178"/>
      <c r="B12" s="27" t="s">
        <v>4</v>
      </c>
      <c r="C12" s="28">
        <v>2</v>
      </c>
      <c r="D12" s="3"/>
      <c r="E12" s="3"/>
      <c r="F12" s="3"/>
      <c r="G12" s="155"/>
      <c r="H12" s="181"/>
      <c r="I12" s="27" t="s">
        <v>4</v>
      </c>
      <c r="J12" s="54">
        <v>2</v>
      </c>
    </row>
    <row r="13" spans="1:11" ht="66.75" customHeight="1" x14ac:dyDescent="0.25">
      <c r="A13" s="178"/>
      <c r="B13" s="27" t="s">
        <v>5</v>
      </c>
      <c r="C13" s="28">
        <v>3</v>
      </c>
      <c r="D13" s="3"/>
      <c r="E13" s="3"/>
      <c r="F13" s="3"/>
      <c r="G13" s="155"/>
      <c r="H13" s="181"/>
      <c r="I13" s="27" t="s">
        <v>5</v>
      </c>
      <c r="J13" s="54">
        <v>3</v>
      </c>
    </row>
    <row r="14" spans="1:11" ht="89.25" customHeight="1" x14ac:dyDescent="0.25">
      <c r="A14" s="178"/>
      <c r="B14" s="27" t="s">
        <v>6</v>
      </c>
      <c r="C14" s="28">
        <v>4</v>
      </c>
      <c r="D14" s="3" t="s">
        <v>137</v>
      </c>
      <c r="E14" s="3"/>
      <c r="F14" s="3" t="s">
        <v>163</v>
      </c>
      <c r="G14" s="155" t="s">
        <v>139</v>
      </c>
      <c r="H14" s="181"/>
      <c r="I14" s="27" t="s">
        <v>6</v>
      </c>
      <c r="J14" s="28">
        <v>4</v>
      </c>
      <c r="K14" s="53"/>
    </row>
    <row r="15" spans="1:11" ht="96.75" customHeight="1" thickBot="1" x14ac:dyDescent="0.3">
      <c r="A15" s="179"/>
      <c r="B15" s="29" t="s">
        <v>7</v>
      </c>
      <c r="C15" s="30">
        <v>5</v>
      </c>
      <c r="D15" s="102" t="s">
        <v>138</v>
      </c>
      <c r="E15" s="102"/>
      <c r="F15" s="102" t="s">
        <v>163</v>
      </c>
      <c r="G15" s="159" t="s">
        <v>139</v>
      </c>
      <c r="H15" s="181"/>
      <c r="I15" s="29" t="s">
        <v>7</v>
      </c>
      <c r="J15" s="30">
        <v>5</v>
      </c>
      <c r="K15" s="53"/>
    </row>
    <row r="16" spans="1:11" ht="96" customHeight="1" x14ac:dyDescent="0.25">
      <c r="A16" s="177" t="s">
        <v>46</v>
      </c>
      <c r="B16" s="25" t="s">
        <v>3</v>
      </c>
      <c r="C16" s="26">
        <v>1</v>
      </c>
      <c r="D16" s="3"/>
      <c r="E16" s="3"/>
      <c r="F16" s="3" t="s">
        <v>163</v>
      </c>
      <c r="G16" s="155" t="s">
        <v>160</v>
      </c>
      <c r="H16" s="180" t="str">
        <f>A16</f>
        <v>Среда 02.09.2026</v>
      </c>
      <c r="I16" s="25" t="s">
        <v>3</v>
      </c>
      <c r="J16" s="55">
        <v>1</v>
      </c>
    </row>
    <row r="17" spans="1:11" ht="80.25" customHeight="1" x14ac:dyDescent="0.25">
      <c r="A17" s="178"/>
      <c r="B17" s="27" t="s">
        <v>4</v>
      </c>
      <c r="C17" s="28">
        <v>2</v>
      </c>
      <c r="D17" s="3"/>
      <c r="E17" s="3"/>
      <c r="F17" s="3" t="s">
        <v>163</v>
      </c>
      <c r="G17" s="155" t="s">
        <v>139</v>
      </c>
      <c r="H17" s="181"/>
      <c r="I17" s="27" t="s">
        <v>4</v>
      </c>
      <c r="J17" s="28">
        <v>2</v>
      </c>
      <c r="K17" s="53"/>
    </row>
    <row r="18" spans="1:11" ht="99.75" customHeight="1" x14ac:dyDescent="0.25">
      <c r="A18" s="178"/>
      <c r="B18" s="27" t="s">
        <v>5</v>
      </c>
      <c r="C18" s="28">
        <v>3</v>
      </c>
      <c r="D18" s="3"/>
      <c r="E18" s="3" t="s">
        <v>157</v>
      </c>
      <c r="F18" s="3" t="s">
        <v>163</v>
      </c>
      <c r="G18" s="155" t="s">
        <v>139</v>
      </c>
      <c r="H18" s="181"/>
      <c r="I18" s="27" t="s">
        <v>5</v>
      </c>
      <c r="J18" s="54">
        <v>3</v>
      </c>
    </row>
    <row r="19" spans="1:11" ht="84.75" customHeight="1" x14ac:dyDescent="0.25">
      <c r="A19" s="178"/>
      <c r="B19" s="27" t="s">
        <v>6</v>
      </c>
      <c r="C19" s="28">
        <v>4</v>
      </c>
      <c r="D19" s="3" t="s">
        <v>138</v>
      </c>
      <c r="E19" s="3" t="s">
        <v>159</v>
      </c>
      <c r="F19" s="166"/>
      <c r="G19" s="155" t="s">
        <v>153</v>
      </c>
      <c r="H19" s="181"/>
      <c r="I19" s="27" t="s">
        <v>6</v>
      </c>
      <c r="J19" s="28">
        <v>4</v>
      </c>
      <c r="K19" s="53"/>
    </row>
    <row r="20" spans="1:11" ht="75.75" customHeight="1" thickBot="1" x14ac:dyDescent="0.3">
      <c r="A20" s="179"/>
      <c r="B20" s="29" t="s">
        <v>7</v>
      </c>
      <c r="C20" s="30">
        <v>5</v>
      </c>
      <c r="D20" s="102" t="s">
        <v>158</v>
      </c>
      <c r="E20" s="102" t="s">
        <v>157</v>
      </c>
      <c r="F20" s="168"/>
      <c r="G20" s="159" t="s">
        <v>153</v>
      </c>
      <c r="H20" s="181"/>
      <c r="I20" s="29" t="s">
        <v>7</v>
      </c>
      <c r="J20" s="30">
        <v>5</v>
      </c>
      <c r="K20" s="53"/>
    </row>
    <row r="21" spans="1:11" ht="82.5" customHeight="1" x14ac:dyDescent="0.25">
      <c r="A21" s="177" t="s">
        <v>45</v>
      </c>
      <c r="B21" s="25" t="s">
        <v>3</v>
      </c>
      <c r="C21" s="26">
        <v>1</v>
      </c>
      <c r="D21" s="3"/>
      <c r="E21" s="101" t="s">
        <v>247</v>
      </c>
      <c r="F21" s="3" t="s">
        <v>163</v>
      </c>
      <c r="G21" s="155"/>
      <c r="H21" s="180" t="str">
        <f>A21</f>
        <v>Четверг 03.09.2026</v>
      </c>
      <c r="I21" s="25" t="s">
        <v>3</v>
      </c>
      <c r="J21" s="55">
        <v>1</v>
      </c>
    </row>
    <row r="22" spans="1:11" ht="76.900000000000006" customHeight="1" x14ac:dyDescent="0.25">
      <c r="A22" s="178"/>
      <c r="B22" s="27" t="s">
        <v>4</v>
      </c>
      <c r="C22" s="28">
        <v>2</v>
      </c>
      <c r="D22" s="3"/>
      <c r="E22" s="3" t="s">
        <v>247</v>
      </c>
      <c r="F22" s="3" t="s">
        <v>163</v>
      </c>
      <c r="G22" s="155"/>
      <c r="H22" s="181"/>
      <c r="I22" s="27" t="s">
        <v>4</v>
      </c>
      <c r="J22" s="28">
        <v>2</v>
      </c>
      <c r="K22" s="53"/>
    </row>
    <row r="23" spans="1:11" ht="94.5" customHeight="1" x14ac:dyDescent="0.25">
      <c r="A23" s="178"/>
      <c r="B23" s="27" t="s">
        <v>5</v>
      </c>
      <c r="C23" s="28">
        <v>3</v>
      </c>
      <c r="D23" s="3"/>
      <c r="E23" s="3" t="s">
        <v>157</v>
      </c>
      <c r="F23" s="3" t="s">
        <v>163</v>
      </c>
      <c r="G23" s="155"/>
      <c r="H23" s="181"/>
      <c r="I23" s="27" t="s">
        <v>5</v>
      </c>
      <c r="J23" s="28">
        <v>3</v>
      </c>
      <c r="K23" s="53"/>
    </row>
    <row r="24" spans="1:11" ht="99.75" customHeight="1" x14ac:dyDescent="0.25">
      <c r="A24" s="178"/>
      <c r="B24" s="27" t="s">
        <v>6</v>
      </c>
      <c r="C24" s="28">
        <v>4</v>
      </c>
      <c r="D24" s="3" t="s">
        <v>246</v>
      </c>
      <c r="E24" s="3" t="s">
        <v>247</v>
      </c>
      <c r="F24" s="3" t="s">
        <v>163</v>
      </c>
      <c r="G24" s="155" t="s">
        <v>139</v>
      </c>
      <c r="H24" s="181"/>
      <c r="I24" s="27" t="s">
        <v>6</v>
      </c>
      <c r="J24" s="28">
        <v>4</v>
      </c>
      <c r="K24" s="53"/>
    </row>
    <row r="25" spans="1:11" ht="107.25" customHeight="1" thickBot="1" x14ac:dyDescent="0.3">
      <c r="A25" s="179"/>
      <c r="B25" s="29" t="s">
        <v>7</v>
      </c>
      <c r="C25" s="31">
        <v>5</v>
      </c>
      <c r="D25" s="102" t="s">
        <v>137</v>
      </c>
      <c r="E25" s="102" t="s">
        <v>248</v>
      </c>
      <c r="F25" s="145"/>
      <c r="G25" s="159" t="s">
        <v>160</v>
      </c>
      <c r="H25" s="181"/>
      <c r="I25" s="29" t="s">
        <v>7</v>
      </c>
      <c r="J25" s="31">
        <v>5</v>
      </c>
      <c r="K25" s="53"/>
    </row>
    <row r="26" spans="1:11" ht="99" customHeight="1" x14ac:dyDescent="0.25">
      <c r="A26" s="177" t="s">
        <v>47</v>
      </c>
      <c r="B26" s="25" t="s">
        <v>3</v>
      </c>
      <c r="C26" s="26">
        <v>1</v>
      </c>
      <c r="D26" s="3"/>
      <c r="E26" s="3" t="s">
        <v>296</v>
      </c>
      <c r="F26" s="3"/>
      <c r="G26" s="155"/>
      <c r="H26" s="180" t="str">
        <f>A26</f>
        <v>Пятница 04.09.2026</v>
      </c>
      <c r="I26" s="25" t="s">
        <v>3</v>
      </c>
      <c r="J26" s="26">
        <v>1</v>
      </c>
      <c r="K26" s="53"/>
    </row>
    <row r="27" spans="1:11" ht="99" customHeight="1" x14ac:dyDescent="0.25">
      <c r="A27" s="178"/>
      <c r="B27" s="27" t="s">
        <v>4</v>
      </c>
      <c r="C27" s="28">
        <v>2</v>
      </c>
      <c r="D27" s="3"/>
      <c r="E27" s="3" t="s">
        <v>247</v>
      </c>
      <c r="F27" s="3" t="s">
        <v>232</v>
      </c>
      <c r="G27" s="155"/>
      <c r="H27" s="181"/>
      <c r="I27" s="27" t="s">
        <v>4</v>
      </c>
      <c r="J27" s="28">
        <v>2</v>
      </c>
      <c r="K27" s="53"/>
    </row>
    <row r="28" spans="1:11" ht="99.75" customHeight="1" x14ac:dyDescent="0.25">
      <c r="A28" s="178"/>
      <c r="B28" s="27" t="s">
        <v>5</v>
      </c>
      <c r="C28" s="28">
        <v>3</v>
      </c>
      <c r="D28" s="3" t="s">
        <v>296</v>
      </c>
      <c r="E28" s="3" t="s">
        <v>247</v>
      </c>
      <c r="F28" s="3" t="s">
        <v>232</v>
      </c>
      <c r="G28" s="155" t="s">
        <v>160</v>
      </c>
      <c r="H28" s="181"/>
      <c r="I28" s="27" t="s">
        <v>5</v>
      </c>
      <c r="J28" s="28">
        <v>3</v>
      </c>
      <c r="K28" s="53"/>
    </row>
    <row r="29" spans="1:11" ht="109.5" customHeight="1" x14ac:dyDescent="0.25">
      <c r="A29" s="178"/>
      <c r="B29" s="27" t="s">
        <v>6</v>
      </c>
      <c r="C29" s="28">
        <v>4</v>
      </c>
      <c r="D29" s="3" t="s">
        <v>138</v>
      </c>
      <c r="E29" s="3"/>
      <c r="F29" s="3" t="s">
        <v>297</v>
      </c>
      <c r="G29" s="155" t="s">
        <v>139</v>
      </c>
      <c r="H29" s="181"/>
      <c r="I29" s="27" t="s">
        <v>6</v>
      </c>
      <c r="J29" s="28">
        <v>4</v>
      </c>
      <c r="K29" s="53"/>
    </row>
    <row r="30" spans="1:11" ht="107.25" customHeight="1" thickBot="1" x14ac:dyDescent="0.3">
      <c r="A30" s="179"/>
      <c r="B30" s="29" t="s">
        <v>7</v>
      </c>
      <c r="C30" s="30">
        <v>5</v>
      </c>
      <c r="D30" s="102" t="s">
        <v>137</v>
      </c>
      <c r="E30" s="145"/>
      <c r="F30" s="102" t="s">
        <v>297</v>
      </c>
      <c r="G30" s="159" t="s">
        <v>160</v>
      </c>
      <c r="H30" s="181"/>
      <c r="I30" s="29" t="s">
        <v>7</v>
      </c>
      <c r="J30" s="30">
        <v>5</v>
      </c>
      <c r="K30" s="53"/>
    </row>
    <row r="31" spans="1:11" ht="76.5" customHeight="1" thickBot="1" x14ac:dyDescent="0.3">
      <c r="A31" s="183" t="s">
        <v>48</v>
      </c>
      <c r="B31" s="25" t="s">
        <v>3</v>
      </c>
      <c r="C31" s="26">
        <v>1</v>
      </c>
      <c r="D31" s="3"/>
      <c r="E31" s="101"/>
      <c r="F31" s="101" t="s">
        <v>163</v>
      </c>
      <c r="G31" s="161" t="s">
        <v>200</v>
      </c>
      <c r="H31" s="180" t="str">
        <f>A31</f>
        <v>Суббота 05.09.2026</v>
      </c>
      <c r="I31" s="25" t="s">
        <v>3</v>
      </c>
      <c r="J31" s="55">
        <v>1</v>
      </c>
      <c r="K31" s="53"/>
    </row>
    <row r="32" spans="1:11" ht="102.75" customHeight="1" x14ac:dyDescent="0.25">
      <c r="A32" s="178"/>
      <c r="B32" s="27" t="s">
        <v>4</v>
      </c>
      <c r="C32" s="28">
        <v>2</v>
      </c>
      <c r="D32" s="3" t="s">
        <v>376</v>
      </c>
      <c r="E32" s="3"/>
      <c r="F32" s="3" t="s">
        <v>163</v>
      </c>
      <c r="G32" s="3" t="s">
        <v>185</v>
      </c>
      <c r="H32" s="181"/>
      <c r="I32" s="27" t="s">
        <v>4</v>
      </c>
      <c r="J32" s="54">
        <v>2</v>
      </c>
      <c r="K32" s="53"/>
    </row>
    <row r="33" spans="1:11" ht="98.25" customHeight="1" x14ac:dyDescent="0.25">
      <c r="A33" s="178"/>
      <c r="B33" s="27" t="s">
        <v>5</v>
      </c>
      <c r="C33" s="28">
        <v>3</v>
      </c>
      <c r="D33" s="3" t="s">
        <v>380</v>
      </c>
      <c r="E33" s="3"/>
      <c r="F33" s="3" t="s">
        <v>163</v>
      </c>
      <c r="G33" s="155"/>
      <c r="H33" s="181"/>
      <c r="I33" s="27" t="s">
        <v>5</v>
      </c>
      <c r="J33" s="54">
        <v>3</v>
      </c>
      <c r="K33" s="53"/>
    </row>
    <row r="34" spans="1:11" ht="102" customHeight="1" x14ac:dyDescent="0.25">
      <c r="A34" s="178"/>
      <c r="B34" s="27" t="s">
        <v>6</v>
      </c>
      <c r="C34" s="28">
        <v>4</v>
      </c>
      <c r="D34" s="166"/>
      <c r="E34" s="3" t="s">
        <v>381</v>
      </c>
      <c r="F34" s="3" t="s">
        <v>297</v>
      </c>
      <c r="G34" s="167"/>
      <c r="H34" s="181"/>
      <c r="I34" s="27" t="s">
        <v>6</v>
      </c>
      <c r="J34" s="54">
        <v>4</v>
      </c>
    </row>
    <row r="35" spans="1:11" ht="105.75" customHeight="1" thickBot="1" x14ac:dyDescent="0.3">
      <c r="A35" s="184"/>
      <c r="B35" s="29" t="s">
        <v>7</v>
      </c>
      <c r="C35" s="30">
        <v>5</v>
      </c>
      <c r="D35" s="168"/>
      <c r="E35" s="102" t="s">
        <v>382</v>
      </c>
      <c r="F35" s="102" t="s">
        <v>297</v>
      </c>
      <c r="G35" s="169"/>
      <c r="H35" s="181"/>
      <c r="I35" s="141" t="s">
        <v>7</v>
      </c>
      <c r="J35" s="144">
        <v>5</v>
      </c>
      <c r="K35" s="53"/>
    </row>
    <row r="36" spans="1:11" x14ac:dyDescent="0.25">
      <c r="D36" s="82"/>
      <c r="E36" s="85"/>
      <c r="F36" s="85"/>
      <c r="G36" s="121"/>
    </row>
  </sheetData>
  <mergeCells count="19">
    <mergeCell ref="A31:A35"/>
    <mergeCell ref="H31:H35"/>
    <mergeCell ref="H11:H15"/>
    <mergeCell ref="A11:A15"/>
    <mergeCell ref="H1:H4"/>
    <mergeCell ref="A6:A10"/>
    <mergeCell ref="H26:H30"/>
    <mergeCell ref="A16:A20"/>
    <mergeCell ref="D5:G5"/>
    <mergeCell ref="H16:H20"/>
    <mergeCell ref="A21:A25"/>
    <mergeCell ref="H21:H25"/>
    <mergeCell ref="I1:I4"/>
    <mergeCell ref="A1:A4"/>
    <mergeCell ref="C1:C4"/>
    <mergeCell ref="J1:J4"/>
    <mergeCell ref="A26:A30"/>
    <mergeCell ref="H6:H10"/>
    <mergeCell ref="B1:B4"/>
  </mergeCells>
  <pageMargins left="0" right="0" top="0" bottom="0" header="0" footer="0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U36"/>
  <sheetViews>
    <sheetView zoomScale="35" zoomScaleNormal="35" zoomScaleSheetLayoutView="40" workbookViewId="0">
      <pane xSplit="3" ySplit="4" topLeftCell="D26" activePane="bottomRight" state="frozen"/>
      <selection pane="topRight" activeCell="D1" sqref="D1"/>
      <selection pane="bottomLeft" activeCell="A5" sqref="A5"/>
      <selection pane="bottomRight" activeCell="N3" sqref="N3"/>
    </sheetView>
  </sheetViews>
  <sheetFormatPr defaultColWidth="9.140625" defaultRowHeight="21" x14ac:dyDescent="0.35"/>
  <cols>
    <col min="1" max="1" width="6.42578125" style="10" customWidth="1"/>
    <col min="2" max="3" width="9.140625" style="10" customWidth="1"/>
    <col min="4" max="4" width="36.7109375" style="51" customWidth="1"/>
    <col min="5" max="5" width="37.85546875" style="51" customWidth="1"/>
    <col min="6" max="6" width="39.7109375" style="24" customWidth="1"/>
    <col min="7" max="7" width="42" style="23" customWidth="1"/>
    <col min="8" max="8" width="41.85546875" style="51" customWidth="1"/>
    <col min="9" max="9" width="41.7109375" style="51" customWidth="1"/>
    <col min="10" max="10" width="41.7109375" style="73" customWidth="1"/>
    <col min="11" max="11" width="40.5703125" style="51" customWidth="1"/>
    <col min="12" max="12" width="41.7109375" style="51" customWidth="1"/>
    <col min="13" max="13" width="41.85546875" style="51" customWidth="1"/>
    <col min="14" max="15" width="40.42578125" style="51" customWidth="1"/>
    <col min="16" max="16" width="40" style="51" customWidth="1"/>
    <col min="17" max="17" width="42.140625" style="24" customWidth="1"/>
    <col min="18" max="18" width="6.42578125" style="10" customWidth="1"/>
    <col min="19" max="19" width="9.140625" style="10" customWidth="1"/>
    <col min="20" max="16384" width="9.140625" style="10"/>
  </cols>
  <sheetData>
    <row r="1" spans="1:21" ht="42" customHeight="1" thickBot="1" x14ac:dyDescent="0.4">
      <c r="A1" s="189" t="s">
        <v>0</v>
      </c>
      <c r="B1" s="189" t="s">
        <v>1</v>
      </c>
      <c r="C1" s="198" t="s">
        <v>2</v>
      </c>
      <c r="D1" s="65" t="s">
        <v>52</v>
      </c>
      <c r="E1" s="65" t="s">
        <v>59</v>
      </c>
      <c r="F1" s="9" t="s">
        <v>60</v>
      </c>
      <c r="G1" s="68" t="s">
        <v>64</v>
      </c>
      <c r="H1" s="65" t="s">
        <v>73</v>
      </c>
      <c r="I1" s="65" t="s">
        <v>78</v>
      </c>
      <c r="J1" s="65" t="s">
        <v>82</v>
      </c>
      <c r="K1" s="65" t="s">
        <v>89</v>
      </c>
      <c r="L1" s="65" t="s">
        <v>12</v>
      </c>
      <c r="M1" s="65" t="s">
        <v>91</v>
      </c>
      <c r="N1" s="65" t="s">
        <v>15</v>
      </c>
      <c r="O1" s="74" t="s">
        <v>93</v>
      </c>
      <c r="P1" s="74" t="s">
        <v>13</v>
      </c>
      <c r="Q1" s="45" t="s">
        <v>95</v>
      </c>
      <c r="R1" s="191" t="s">
        <v>0</v>
      </c>
      <c r="S1" s="189" t="s">
        <v>1</v>
      </c>
      <c r="T1" s="189" t="s">
        <v>2</v>
      </c>
    </row>
    <row r="2" spans="1:21" ht="125.25" customHeight="1" x14ac:dyDescent="0.35">
      <c r="A2" s="172"/>
      <c r="B2" s="172"/>
      <c r="C2" s="175"/>
      <c r="D2" s="72" t="s">
        <v>117</v>
      </c>
      <c r="E2" s="72" t="s">
        <v>114</v>
      </c>
      <c r="F2" s="11" t="s">
        <v>118</v>
      </c>
      <c r="G2" s="69" t="s">
        <v>119</v>
      </c>
      <c r="H2" s="72" t="s">
        <v>120</v>
      </c>
      <c r="I2" s="72" t="s">
        <v>121</v>
      </c>
      <c r="J2" s="72" t="s">
        <v>121</v>
      </c>
      <c r="K2" s="72" t="s">
        <v>122</v>
      </c>
      <c r="L2" s="72" t="s">
        <v>122</v>
      </c>
      <c r="M2" s="72" t="s">
        <v>115</v>
      </c>
      <c r="N2" s="72" t="s">
        <v>115</v>
      </c>
      <c r="O2" s="46" t="s">
        <v>123</v>
      </c>
      <c r="P2" s="120" t="s">
        <v>123</v>
      </c>
      <c r="Q2" s="75" t="s">
        <v>113</v>
      </c>
      <c r="R2" s="192"/>
      <c r="S2" s="172"/>
      <c r="T2" s="172"/>
    </row>
    <row r="3" spans="1:21" ht="42" customHeight="1" x14ac:dyDescent="0.35">
      <c r="A3" s="172"/>
      <c r="B3" s="172"/>
      <c r="C3" s="175"/>
      <c r="D3" s="130" t="s">
        <v>53</v>
      </c>
      <c r="E3" s="130" t="s">
        <v>58</v>
      </c>
      <c r="F3" s="131" t="s">
        <v>61</v>
      </c>
      <c r="G3" s="132" t="s">
        <v>65</v>
      </c>
      <c r="H3" s="130" t="s">
        <v>72</v>
      </c>
      <c r="I3" s="130" t="s">
        <v>77</v>
      </c>
      <c r="J3" s="130" t="s">
        <v>81</v>
      </c>
      <c r="K3" s="130" t="s">
        <v>90</v>
      </c>
      <c r="L3" s="130" t="s">
        <v>19</v>
      </c>
      <c r="M3" s="130" t="s">
        <v>92</v>
      </c>
      <c r="N3" s="130" t="s">
        <v>21</v>
      </c>
      <c r="O3" s="133" t="s">
        <v>94</v>
      </c>
      <c r="P3" s="133" t="s">
        <v>20</v>
      </c>
      <c r="Q3" s="134" t="s">
        <v>96</v>
      </c>
      <c r="R3" s="192"/>
      <c r="S3" s="172"/>
      <c r="T3" s="172"/>
    </row>
    <row r="4" spans="1:21" x14ac:dyDescent="0.35">
      <c r="A4" s="172"/>
      <c r="B4" s="172"/>
      <c r="C4" s="175"/>
      <c r="D4" s="71">
        <v>29</v>
      </c>
      <c r="E4" s="71">
        <v>31</v>
      </c>
      <c r="F4" s="12">
        <v>13</v>
      </c>
      <c r="G4" s="70">
        <v>49</v>
      </c>
      <c r="H4" s="71">
        <v>46</v>
      </c>
      <c r="I4" s="71">
        <v>37</v>
      </c>
      <c r="J4" s="71">
        <v>33</v>
      </c>
      <c r="K4" s="71">
        <v>27</v>
      </c>
      <c r="L4" s="71">
        <v>12</v>
      </c>
      <c r="M4" s="71">
        <v>56</v>
      </c>
      <c r="N4" s="71">
        <v>15</v>
      </c>
      <c r="O4" s="71">
        <v>7</v>
      </c>
      <c r="P4" s="71">
        <v>6</v>
      </c>
      <c r="Q4" s="12">
        <v>33</v>
      </c>
      <c r="R4" s="192"/>
      <c r="S4" s="172"/>
      <c r="T4" s="172"/>
    </row>
    <row r="5" spans="1:21" ht="42" customHeight="1" thickBot="1" x14ac:dyDescent="0.4">
      <c r="A5" s="173"/>
      <c r="B5" s="173"/>
      <c r="C5" s="176"/>
      <c r="D5" s="195" t="str">
        <f>'4к 9 кл, 3к 11 кл'!D5:G5</f>
        <v>1 неделя</v>
      </c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7"/>
      <c r="R5" s="192"/>
      <c r="S5" s="173"/>
      <c r="T5" s="173"/>
    </row>
    <row r="6" spans="1:21" ht="285.75" customHeight="1" x14ac:dyDescent="0.35">
      <c r="A6" s="190" t="str">
        <f>'4к 9 кл, 3к 11 кл'!A6:A10</f>
        <v>Понедельник  31.08.2026</v>
      </c>
      <c r="B6" s="21" t="s">
        <v>3</v>
      </c>
      <c r="C6" s="22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194" t="str">
        <f>'4к 9 кл, 3к 11 кл'!A6:A10</f>
        <v>Понедельник  31.08.2026</v>
      </c>
      <c r="S6" s="21" t="s">
        <v>3</v>
      </c>
      <c r="T6" s="41">
        <v>1</v>
      </c>
    </row>
    <row r="7" spans="1:21" ht="279" customHeight="1" x14ac:dyDescent="0.35">
      <c r="A7" s="178"/>
      <c r="B7" s="13" t="s">
        <v>4</v>
      </c>
      <c r="C7" s="14">
        <v>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181"/>
      <c r="S7" s="13" t="s">
        <v>4</v>
      </c>
      <c r="T7" s="14">
        <v>2</v>
      </c>
      <c r="U7" s="51"/>
    </row>
    <row r="8" spans="1:21" ht="275.25" customHeight="1" x14ac:dyDescent="0.35">
      <c r="A8" s="178"/>
      <c r="B8" s="13" t="s">
        <v>5</v>
      </c>
      <c r="C8" s="14">
        <v>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181"/>
      <c r="S8" s="13" t="s">
        <v>5</v>
      </c>
      <c r="T8" s="14">
        <v>3</v>
      </c>
      <c r="U8" s="51"/>
    </row>
    <row r="9" spans="1:21" ht="279" customHeight="1" x14ac:dyDescent="0.35">
      <c r="A9" s="178"/>
      <c r="B9" s="13" t="s">
        <v>6</v>
      </c>
      <c r="C9" s="14">
        <v>4</v>
      </c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81"/>
      <c r="S9" s="13" t="s">
        <v>6</v>
      </c>
      <c r="T9" s="14">
        <v>4</v>
      </c>
      <c r="U9" s="51"/>
    </row>
    <row r="10" spans="1:21" ht="238.5" customHeight="1" thickBot="1" x14ac:dyDescent="0.4">
      <c r="A10" s="178"/>
      <c r="B10" s="15" t="s">
        <v>7</v>
      </c>
      <c r="C10" s="16">
        <v>5</v>
      </c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81"/>
      <c r="S10" s="15" t="s">
        <v>7</v>
      </c>
      <c r="T10" s="109">
        <v>5</v>
      </c>
    </row>
    <row r="11" spans="1:21" ht="251.25" customHeight="1" x14ac:dyDescent="0.35">
      <c r="A11" s="193" t="str">
        <f>'4к 9 кл, 3к 11 кл'!A11:A15</f>
        <v>Вторник 01.09.2026</v>
      </c>
      <c r="B11" s="17" t="s">
        <v>3</v>
      </c>
      <c r="C11" s="18">
        <v>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194" t="str">
        <f>'4к 9 кл, 3к 11 кл'!A11:A15</f>
        <v>Вторник 01.09.2026</v>
      </c>
      <c r="S11" s="17" t="s">
        <v>3</v>
      </c>
      <c r="T11" s="18">
        <v>1</v>
      </c>
      <c r="U11" s="51"/>
    </row>
    <row r="12" spans="1:21" ht="294" customHeight="1" x14ac:dyDescent="0.35">
      <c r="A12" s="178"/>
      <c r="B12" s="13" t="s">
        <v>4</v>
      </c>
      <c r="C12" s="14">
        <v>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181"/>
      <c r="S12" s="13" t="s">
        <v>4</v>
      </c>
      <c r="T12" s="14">
        <v>2</v>
      </c>
      <c r="U12" s="51"/>
    </row>
    <row r="13" spans="1:21" ht="307.5" customHeight="1" x14ac:dyDescent="0.35">
      <c r="A13" s="178"/>
      <c r="B13" s="13" t="s">
        <v>5</v>
      </c>
      <c r="C13" s="14">
        <v>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181"/>
      <c r="S13" s="13" t="s">
        <v>5</v>
      </c>
      <c r="T13" s="14">
        <v>3</v>
      </c>
      <c r="U13" s="51"/>
    </row>
    <row r="14" spans="1:21" ht="310.5" customHeight="1" x14ac:dyDescent="0.35">
      <c r="A14" s="178"/>
      <c r="B14" s="13" t="s">
        <v>6</v>
      </c>
      <c r="C14" s="14">
        <v>4</v>
      </c>
      <c r="D14" s="5" t="s">
        <v>140</v>
      </c>
      <c r="E14" s="5"/>
      <c r="F14" s="5"/>
      <c r="G14" s="5" t="s">
        <v>142</v>
      </c>
      <c r="H14" s="5" t="s">
        <v>143</v>
      </c>
      <c r="I14" s="5" t="s">
        <v>144</v>
      </c>
      <c r="J14" s="5" t="s">
        <v>146</v>
      </c>
      <c r="K14" s="5" t="s">
        <v>147</v>
      </c>
      <c r="L14" s="125"/>
      <c r="M14" s="5"/>
      <c r="N14" s="5" t="s">
        <v>149</v>
      </c>
      <c r="O14" s="125"/>
      <c r="P14" s="125"/>
      <c r="Q14" s="5"/>
      <c r="R14" s="181"/>
      <c r="S14" s="13" t="s">
        <v>6</v>
      </c>
      <c r="T14" s="14">
        <v>4</v>
      </c>
      <c r="U14" s="51"/>
    </row>
    <row r="15" spans="1:21" ht="322.5" customHeight="1" thickBot="1" x14ac:dyDescent="0.4">
      <c r="A15" s="179"/>
      <c r="B15" s="15" t="s">
        <v>7</v>
      </c>
      <c r="C15" s="16">
        <v>5</v>
      </c>
      <c r="D15" s="96" t="s">
        <v>140</v>
      </c>
      <c r="E15" s="96"/>
      <c r="F15" s="96" t="s">
        <v>141</v>
      </c>
      <c r="G15" s="96" t="s">
        <v>142</v>
      </c>
      <c r="H15" s="96" t="s">
        <v>143</v>
      </c>
      <c r="I15" s="96" t="s">
        <v>145</v>
      </c>
      <c r="J15" s="96" t="s">
        <v>144</v>
      </c>
      <c r="K15" s="96" t="s">
        <v>148</v>
      </c>
      <c r="L15" s="143"/>
      <c r="M15" s="143"/>
      <c r="N15" s="96" t="s">
        <v>150</v>
      </c>
      <c r="O15" s="143"/>
      <c r="P15" s="143"/>
      <c r="Q15" s="96"/>
      <c r="R15" s="181"/>
      <c r="S15" s="15" t="s">
        <v>7</v>
      </c>
      <c r="T15" s="16">
        <v>5</v>
      </c>
      <c r="U15" s="51"/>
    </row>
    <row r="16" spans="1:21" ht="219" customHeight="1" x14ac:dyDescent="0.35">
      <c r="A16" s="190" t="str">
        <f>'4к 9 кл, 3к 11 кл'!A16:A20</f>
        <v>Среда 02.09.2026</v>
      </c>
      <c r="B16" s="17" t="s">
        <v>3</v>
      </c>
      <c r="C16" s="18">
        <v>1</v>
      </c>
      <c r="D16" s="5"/>
      <c r="E16" s="5"/>
      <c r="F16" s="5"/>
      <c r="G16" s="5"/>
      <c r="H16" s="5"/>
      <c r="I16" s="5"/>
      <c r="J16" s="5"/>
      <c r="K16" s="5" t="s">
        <v>171</v>
      </c>
      <c r="L16" s="5"/>
      <c r="M16" s="5"/>
      <c r="N16" s="5" t="s">
        <v>181</v>
      </c>
      <c r="O16" s="5" t="s">
        <v>179</v>
      </c>
      <c r="P16" s="5"/>
      <c r="Q16" s="5"/>
      <c r="R16" s="194" t="str">
        <f>'4к 9 кл, 3к 11 кл'!A16:A20</f>
        <v>Среда 02.09.2026</v>
      </c>
      <c r="S16" s="17" t="s">
        <v>3</v>
      </c>
      <c r="T16" s="18">
        <v>1</v>
      </c>
      <c r="U16" s="51"/>
    </row>
    <row r="17" spans="1:21" ht="285" customHeight="1" x14ac:dyDescent="0.35">
      <c r="A17" s="178"/>
      <c r="B17" s="13" t="s">
        <v>4</v>
      </c>
      <c r="C17" s="14">
        <v>2</v>
      </c>
      <c r="D17" s="5" t="s">
        <v>161</v>
      </c>
      <c r="E17" s="5" t="s">
        <v>162</v>
      </c>
      <c r="F17" s="5"/>
      <c r="G17" s="5"/>
      <c r="H17" s="5" t="s">
        <v>387</v>
      </c>
      <c r="I17" s="5"/>
      <c r="J17" s="5" t="s">
        <v>144</v>
      </c>
      <c r="K17" s="5" t="s">
        <v>171</v>
      </c>
      <c r="L17" s="5"/>
      <c r="M17" s="5"/>
      <c r="N17" s="5" t="s">
        <v>182</v>
      </c>
      <c r="O17" s="5" t="s">
        <v>179</v>
      </c>
      <c r="P17" s="5"/>
      <c r="Q17" s="5"/>
      <c r="R17" s="181"/>
      <c r="S17" s="13" t="s">
        <v>4</v>
      </c>
      <c r="T17" s="52">
        <v>2</v>
      </c>
    </row>
    <row r="18" spans="1:21" ht="288" customHeight="1" x14ac:dyDescent="0.35">
      <c r="A18" s="178"/>
      <c r="B18" s="13" t="s">
        <v>5</v>
      </c>
      <c r="C18" s="14">
        <v>3</v>
      </c>
      <c r="D18" s="5" t="s">
        <v>161</v>
      </c>
      <c r="E18" s="5" t="s">
        <v>164</v>
      </c>
      <c r="F18" s="5"/>
      <c r="G18" s="5" t="s">
        <v>167</v>
      </c>
      <c r="H18" s="5" t="s">
        <v>388</v>
      </c>
      <c r="I18" s="5"/>
      <c r="J18" s="5" t="s">
        <v>144</v>
      </c>
      <c r="K18" s="5" t="s">
        <v>179</v>
      </c>
      <c r="L18" s="5" t="s">
        <v>173</v>
      </c>
      <c r="M18" s="5"/>
      <c r="N18" s="5" t="s">
        <v>182</v>
      </c>
      <c r="O18" s="5"/>
      <c r="P18" s="5"/>
      <c r="Q18" s="5"/>
      <c r="R18" s="181"/>
      <c r="S18" s="13" t="s">
        <v>5</v>
      </c>
      <c r="T18" s="14">
        <v>3</v>
      </c>
      <c r="U18" s="51"/>
    </row>
    <row r="19" spans="1:21" ht="273.75" customHeight="1" x14ac:dyDescent="0.35">
      <c r="A19" s="178"/>
      <c r="B19" s="13" t="s">
        <v>6</v>
      </c>
      <c r="C19" s="14">
        <v>4</v>
      </c>
      <c r="D19" s="5" t="s">
        <v>206</v>
      </c>
      <c r="E19" s="5" t="s">
        <v>164</v>
      </c>
      <c r="F19" s="5" t="s">
        <v>166</v>
      </c>
      <c r="G19" s="5" t="s">
        <v>142</v>
      </c>
      <c r="H19" s="5" t="s">
        <v>388</v>
      </c>
      <c r="I19" s="5" t="s">
        <v>169</v>
      </c>
      <c r="J19" s="5" t="s">
        <v>170</v>
      </c>
      <c r="K19" s="5" t="s">
        <v>172</v>
      </c>
      <c r="L19" s="5" t="s">
        <v>174</v>
      </c>
      <c r="M19" s="5" t="s">
        <v>183</v>
      </c>
      <c r="N19" s="5" t="s">
        <v>175</v>
      </c>
      <c r="O19" s="5"/>
      <c r="P19" s="5"/>
      <c r="Q19" s="5" t="s">
        <v>389</v>
      </c>
      <c r="R19" s="181"/>
      <c r="S19" s="13" t="s">
        <v>6</v>
      </c>
      <c r="T19" s="52">
        <v>4</v>
      </c>
    </row>
    <row r="20" spans="1:21" ht="230.25" customHeight="1" thickBot="1" x14ac:dyDescent="0.4">
      <c r="A20" s="178"/>
      <c r="B20" s="19" t="s">
        <v>7</v>
      </c>
      <c r="C20" s="20">
        <v>5</v>
      </c>
      <c r="D20" s="143"/>
      <c r="E20" s="96" t="s">
        <v>165</v>
      </c>
      <c r="F20" s="96" t="s">
        <v>206</v>
      </c>
      <c r="G20" s="96" t="s">
        <v>142</v>
      </c>
      <c r="H20" s="96"/>
      <c r="I20" s="96" t="s">
        <v>144</v>
      </c>
      <c r="J20" s="96" t="s">
        <v>145</v>
      </c>
      <c r="K20" s="96" t="s">
        <v>147</v>
      </c>
      <c r="L20" s="96"/>
      <c r="M20" s="96" t="s">
        <v>175</v>
      </c>
      <c r="N20" s="96" t="s">
        <v>185</v>
      </c>
      <c r="O20" s="96"/>
      <c r="P20" s="96"/>
      <c r="Q20" s="96" t="s">
        <v>390</v>
      </c>
      <c r="R20" s="181"/>
      <c r="S20" s="19" t="s">
        <v>7</v>
      </c>
      <c r="T20" s="20">
        <v>5</v>
      </c>
      <c r="U20" s="51"/>
    </row>
    <row r="21" spans="1:21" ht="215.25" customHeight="1" x14ac:dyDescent="0.35">
      <c r="A21" s="193" t="str">
        <f>'4к 9 кл, 3к 11 кл'!A21:A25</f>
        <v>Четверг 03.09.2026</v>
      </c>
      <c r="B21" s="21" t="s">
        <v>3</v>
      </c>
      <c r="C21" s="22">
        <v>1</v>
      </c>
      <c r="D21" s="5"/>
      <c r="E21" s="5"/>
      <c r="F21" s="5" t="s">
        <v>250</v>
      </c>
      <c r="G21" s="5"/>
      <c r="H21" s="5"/>
      <c r="I21" s="5"/>
      <c r="J21" s="5"/>
      <c r="K21" s="5"/>
      <c r="L21" s="6"/>
      <c r="M21" s="6"/>
      <c r="N21" s="6"/>
      <c r="O21" s="6"/>
      <c r="P21" s="6"/>
      <c r="Q21" s="5" t="s">
        <v>180</v>
      </c>
      <c r="R21" s="194" t="str">
        <f>'4к 9 кл, 3к 11 кл'!A21:A25</f>
        <v>Четверг 03.09.2026</v>
      </c>
      <c r="S21" s="21" t="s">
        <v>3</v>
      </c>
      <c r="T21" s="41">
        <v>1</v>
      </c>
    </row>
    <row r="22" spans="1:21" ht="291.75" customHeight="1" x14ac:dyDescent="0.35">
      <c r="A22" s="178"/>
      <c r="B22" s="13" t="s">
        <v>4</v>
      </c>
      <c r="C22" s="14">
        <v>2</v>
      </c>
      <c r="D22" s="5"/>
      <c r="E22" s="5" t="s">
        <v>176</v>
      </c>
      <c r="F22" s="5" t="s">
        <v>251</v>
      </c>
      <c r="G22" s="5" t="s">
        <v>167</v>
      </c>
      <c r="H22" s="5"/>
      <c r="I22" s="5"/>
      <c r="J22" s="5"/>
      <c r="K22" s="5"/>
      <c r="L22" s="5"/>
      <c r="M22" s="5" t="s">
        <v>183</v>
      </c>
      <c r="N22" s="5"/>
      <c r="O22" s="5"/>
      <c r="P22" s="5"/>
      <c r="Q22" s="5" t="s">
        <v>180</v>
      </c>
      <c r="R22" s="181"/>
      <c r="S22" s="13" t="s">
        <v>4</v>
      </c>
      <c r="T22" s="52">
        <v>2</v>
      </c>
    </row>
    <row r="23" spans="1:21" ht="283.5" customHeight="1" x14ac:dyDescent="0.35">
      <c r="A23" s="178"/>
      <c r="B23" s="13" t="s">
        <v>5</v>
      </c>
      <c r="C23" s="14">
        <v>3</v>
      </c>
      <c r="D23" s="5"/>
      <c r="E23" s="5" t="s">
        <v>176</v>
      </c>
      <c r="F23" s="5" t="s">
        <v>252</v>
      </c>
      <c r="G23" s="5" t="s">
        <v>142</v>
      </c>
      <c r="H23" s="5" t="s">
        <v>254</v>
      </c>
      <c r="I23" s="5"/>
      <c r="J23" s="5"/>
      <c r="K23" s="5"/>
      <c r="L23" s="5" t="s">
        <v>256</v>
      </c>
      <c r="M23" s="5" t="s">
        <v>183</v>
      </c>
      <c r="N23" s="5"/>
      <c r="O23" s="5"/>
      <c r="P23" s="5"/>
      <c r="Q23" s="5" t="s">
        <v>177</v>
      </c>
      <c r="R23" s="181"/>
      <c r="S23" s="13" t="s">
        <v>5</v>
      </c>
      <c r="T23" s="14">
        <v>3</v>
      </c>
      <c r="U23" s="51"/>
    </row>
    <row r="24" spans="1:21" ht="223.5" customHeight="1" x14ac:dyDescent="0.35">
      <c r="A24" s="178"/>
      <c r="B24" s="13" t="s">
        <v>6</v>
      </c>
      <c r="C24" s="14">
        <v>4</v>
      </c>
      <c r="D24" s="5" t="s">
        <v>161</v>
      </c>
      <c r="E24" s="5" t="s">
        <v>180</v>
      </c>
      <c r="F24" s="5" t="s">
        <v>141</v>
      </c>
      <c r="G24" s="5" t="s">
        <v>253</v>
      </c>
      <c r="H24" s="5" t="s">
        <v>168</v>
      </c>
      <c r="I24" s="5" t="s">
        <v>144</v>
      </c>
      <c r="J24" s="5" t="s">
        <v>145</v>
      </c>
      <c r="K24" s="5" t="s">
        <v>257</v>
      </c>
      <c r="L24" s="5" t="s">
        <v>173</v>
      </c>
      <c r="M24" s="5" t="s">
        <v>175</v>
      </c>
      <c r="N24" s="5" t="s">
        <v>181</v>
      </c>
      <c r="O24" s="125"/>
      <c r="P24" s="125"/>
      <c r="Q24" s="5" t="s">
        <v>258</v>
      </c>
      <c r="R24" s="181"/>
      <c r="S24" s="13" t="s">
        <v>6</v>
      </c>
      <c r="T24" s="14">
        <v>4</v>
      </c>
      <c r="U24" s="51"/>
    </row>
    <row r="25" spans="1:21" ht="309.75" customHeight="1" thickBot="1" x14ac:dyDescent="0.4">
      <c r="A25" s="179"/>
      <c r="B25" s="15" t="s">
        <v>7</v>
      </c>
      <c r="C25" s="16">
        <v>5</v>
      </c>
      <c r="D25" s="96" t="s">
        <v>161</v>
      </c>
      <c r="E25" s="96" t="s">
        <v>249</v>
      </c>
      <c r="F25" s="96" t="s">
        <v>251</v>
      </c>
      <c r="G25" s="96"/>
      <c r="H25" s="96" t="s">
        <v>254</v>
      </c>
      <c r="I25" s="96" t="s">
        <v>255</v>
      </c>
      <c r="J25" s="96" t="s">
        <v>146</v>
      </c>
      <c r="K25" s="96" t="s">
        <v>148</v>
      </c>
      <c r="L25" s="96" t="s">
        <v>257</v>
      </c>
      <c r="M25" s="96" t="s">
        <v>210</v>
      </c>
      <c r="N25" s="96" t="s">
        <v>182</v>
      </c>
      <c r="O25" s="143"/>
      <c r="P25" s="143"/>
      <c r="Q25" s="96" t="s">
        <v>176</v>
      </c>
      <c r="R25" s="181"/>
      <c r="S25" s="15" t="s">
        <v>7</v>
      </c>
      <c r="T25" s="16">
        <v>5</v>
      </c>
      <c r="U25" s="51"/>
    </row>
    <row r="26" spans="1:21" ht="234.75" customHeight="1" x14ac:dyDescent="0.35">
      <c r="A26" s="190" t="str">
        <f>'4к 9 кл, 3к 11 кл'!A26:A30</f>
        <v>Пятница 04.09.2026</v>
      </c>
      <c r="B26" s="17" t="s">
        <v>3</v>
      </c>
      <c r="C26" s="18">
        <v>1</v>
      </c>
      <c r="D26" s="5"/>
      <c r="E26" s="5"/>
      <c r="F26" s="5"/>
      <c r="G26" s="5" t="s">
        <v>299</v>
      </c>
      <c r="H26" s="5"/>
      <c r="I26" s="5" t="s">
        <v>146</v>
      </c>
      <c r="J26" s="5"/>
      <c r="K26" s="5" t="s">
        <v>300</v>
      </c>
      <c r="L26" s="5"/>
      <c r="M26" s="5"/>
      <c r="N26" s="5" t="s">
        <v>397</v>
      </c>
      <c r="O26" s="5"/>
      <c r="P26" s="5"/>
      <c r="Q26" s="5"/>
      <c r="R26" s="194" t="str">
        <f>'4к 9 кл, 3к 11 кл'!A26:A30</f>
        <v>Пятница 04.09.2026</v>
      </c>
      <c r="S26" s="17" t="s">
        <v>3</v>
      </c>
      <c r="T26" s="18">
        <v>1</v>
      </c>
      <c r="U26" s="51"/>
    </row>
    <row r="27" spans="1:21" ht="257.45" customHeight="1" x14ac:dyDescent="0.35">
      <c r="A27" s="178"/>
      <c r="B27" s="13" t="s">
        <v>4</v>
      </c>
      <c r="C27" s="14">
        <v>2</v>
      </c>
      <c r="D27" s="5"/>
      <c r="E27" s="5"/>
      <c r="F27" s="5"/>
      <c r="G27" s="5" t="s">
        <v>299</v>
      </c>
      <c r="H27" s="5"/>
      <c r="I27" s="5" t="s">
        <v>169</v>
      </c>
      <c r="J27" s="5" t="s">
        <v>146</v>
      </c>
      <c r="K27" s="5" t="s">
        <v>172</v>
      </c>
      <c r="L27" s="5"/>
      <c r="M27" s="5"/>
      <c r="N27" s="5" t="s">
        <v>397</v>
      </c>
      <c r="O27" s="5"/>
      <c r="P27" s="5"/>
      <c r="Q27" s="5"/>
      <c r="R27" s="181"/>
      <c r="S27" s="13" t="s">
        <v>4</v>
      </c>
      <c r="T27" s="14">
        <v>2</v>
      </c>
      <c r="U27" s="51"/>
    </row>
    <row r="28" spans="1:21" ht="408.75" customHeight="1" x14ac:dyDescent="0.35">
      <c r="A28" s="178"/>
      <c r="B28" s="13" t="s">
        <v>5</v>
      </c>
      <c r="C28" s="14">
        <v>3</v>
      </c>
      <c r="D28" s="5"/>
      <c r="E28" s="5" t="s">
        <v>151</v>
      </c>
      <c r="F28" s="5"/>
      <c r="G28" s="5" t="s">
        <v>299</v>
      </c>
      <c r="H28" s="5"/>
      <c r="I28" s="5" t="s">
        <v>255</v>
      </c>
      <c r="J28" s="5" t="s">
        <v>170</v>
      </c>
      <c r="K28" s="5" t="s">
        <v>172</v>
      </c>
      <c r="L28" s="5"/>
      <c r="M28" s="5"/>
      <c r="N28" s="5"/>
      <c r="O28" s="5"/>
      <c r="P28" s="5"/>
      <c r="Q28" s="5"/>
      <c r="R28" s="181"/>
      <c r="S28" s="13" t="s">
        <v>5</v>
      </c>
      <c r="T28" s="14">
        <v>3</v>
      </c>
      <c r="U28" s="51"/>
    </row>
    <row r="29" spans="1:21" ht="291.75" customHeight="1" x14ac:dyDescent="0.35">
      <c r="A29" s="178"/>
      <c r="B29" s="13" t="s">
        <v>6</v>
      </c>
      <c r="C29" s="14">
        <v>4</v>
      </c>
      <c r="D29" s="5"/>
      <c r="E29" s="5" t="s">
        <v>177</v>
      </c>
      <c r="F29" s="5" t="s">
        <v>250</v>
      </c>
      <c r="G29" s="5"/>
      <c r="H29" s="5" t="s">
        <v>143</v>
      </c>
      <c r="I29" s="5" t="s">
        <v>145</v>
      </c>
      <c r="J29" s="5" t="s">
        <v>169</v>
      </c>
      <c r="K29" s="5"/>
      <c r="L29" s="5"/>
      <c r="M29" s="5"/>
      <c r="N29" s="5"/>
      <c r="O29" s="5"/>
      <c r="P29" s="5"/>
      <c r="Q29" s="5"/>
      <c r="R29" s="181"/>
      <c r="S29" s="13" t="s">
        <v>6</v>
      </c>
      <c r="T29" s="14">
        <v>4</v>
      </c>
      <c r="U29" s="51"/>
    </row>
    <row r="30" spans="1:21" ht="237.75" customHeight="1" thickBot="1" x14ac:dyDescent="0.4">
      <c r="A30" s="178"/>
      <c r="B30" s="15" t="s">
        <v>7</v>
      </c>
      <c r="C30" s="16">
        <v>5</v>
      </c>
      <c r="D30" s="96"/>
      <c r="E30" s="96" t="s">
        <v>177</v>
      </c>
      <c r="F30" s="96" t="s">
        <v>298</v>
      </c>
      <c r="G30" s="96"/>
      <c r="H30" s="96" t="s">
        <v>143</v>
      </c>
      <c r="I30" s="146" t="s">
        <v>146</v>
      </c>
      <c r="J30" s="146" t="s">
        <v>169</v>
      </c>
      <c r="K30" s="146"/>
      <c r="L30" s="146"/>
      <c r="M30" s="146"/>
      <c r="N30" s="146"/>
      <c r="O30" s="146"/>
      <c r="P30" s="146"/>
      <c r="Q30" s="146"/>
      <c r="R30" s="181"/>
      <c r="S30" s="13" t="s">
        <v>7</v>
      </c>
      <c r="T30" s="52">
        <v>5</v>
      </c>
    </row>
    <row r="31" spans="1:21" ht="261" customHeight="1" x14ac:dyDescent="0.35">
      <c r="A31" s="193" t="str">
        <f>'4к 9 кл, 3к 11 кл'!A31:A35</f>
        <v>Суббота 05.09.2026</v>
      </c>
      <c r="B31" s="17" t="s">
        <v>3</v>
      </c>
      <c r="C31" s="18">
        <v>1</v>
      </c>
      <c r="D31" s="6"/>
      <c r="E31" s="5"/>
      <c r="F31" s="5" t="s">
        <v>251</v>
      </c>
      <c r="G31" s="5"/>
      <c r="H31" s="5"/>
      <c r="I31" s="5"/>
      <c r="J31" s="5"/>
      <c r="K31" s="5" t="s">
        <v>171</v>
      </c>
      <c r="L31" s="5"/>
      <c r="M31" s="5"/>
      <c r="N31" s="5"/>
      <c r="O31" s="5"/>
      <c r="P31" s="5"/>
      <c r="Q31" s="5"/>
      <c r="R31" s="194" t="str">
        <f>'4к 9 кл, 3к 11 кл'!A31:A35</f>
        <v>Суббота 05.09.2026</v>
      </c>
      <c r="S31" s="13" t="s">
        <v>3</v>
      </c>
      <c r="T31" s="14">
        <v>1</v>
      </c>
      <c r="U31" s="51"/>
    </row>
    <row r="32" spans="1:21" ht="297" customHeight="1" x14ac:dyDescent="0.35">
      <c r="A32" s="178"/>
      <c r="B32" s="13" t="s">
        <v>4</v>
      </c>
      <c r="C32" s="14">
        <v>2</v>
      </c>
      <c r="D32" s="5"/>
      <c r="E32" s="5" t="s">
        <v>328</v>
      </c>
      <c r="F32" s="5" t="s">
        <v>141</v>
      </c>
      <c r="G32" s="5" t="s">
        <v>200</v>
      </c>
      <c r="H32" s="5"/>
      <c r="I32" s="5" t="s">
        <v>330</v>
      </c>
      <c r="J32" s="5"/>
      <c r="K32" s="5" t="s">
        <v>147</v>
      </c>
      <c r="L32" s="5"/>
      <c r="M32" s="5"/>
      <c r="N32" s="5"/>
      <c r="O32" s="5"/>
      <c r="P32" s="5"/>
      <c r="Q32" s="5" t="s">
        <v>334</v>
      </c>
      <c r="R32" s="181"/>
      <c r="S32" s="13" t="s">
        <v>4</v>
      </c>
      <c r="T32" s="52">
        <v>2</v>
      </c>
    </row>
    <row r="33" spans="1:21" ht="291.75" customHeight="1" x14ac:dyDescent="0.35">
      <c r="A33" s="178"/>
      <c r="B33" s="13" t="s">
        <v>5</v>
      </c>
      <c r="C33" s="14">
        <v>3</v>
      </c>
      <c r="D33" s="5"/>
      <c r="E33" s="5" t="s">
        <v>151</v>
      </c>
      <c r="F33" s="5" t="s">
        <v>250</v>
      </c>
      <c r="G33" s="5" t="s">
        <v>185</v>
      </c>
      <c r="H33" s="5" t="s">
        <v>200</v>
      </c>
      <c r="I33" s="5" t="s">
        <v>330</v>
      </c>
      <c r="J33" s="5"/>
      <c r="K33" s="5"/>
      <c r="L33" s="5" t="s">
        <v>173</v>
      </c>
      <c r="M33" s="5" t="s">
        <v>332</v>
      </c>
      <c r="N33" s="5" t="s">
        <v>333</v>
      </c>
      <c r="O33" s="5" t="s">
        <v>334</v>
      </c>
      <c r="P33" s="5"/>
      <c r="Q33" s="5" t="s">
        <v>377</v>
      </c>
      <c r="R33" s="181"/>
      <c r="S33" s="13" t="s">
        <v>5</v>
      </c>
      <c r="T33" s="52">
        <v>3</v>
      </c>
    </row>
    <row r="34" spans="1:21" ht="256.5" customHeight="1" x14ac:dyDescent="0.35">
      <c r="A34" s="178"/>
      <c r="B34" s="13" t="s">
        <v>6</v>
      </c>
      <c r="C34" s="14">
        <v>4</v>
      </c>
      <c r="D34" s="125"/>
      <c r="E34" s="5" t="s">
        <v>151</v>
      </c>
      <c r="F34" s="5" t="s">
        <v>298</v>
      </c>
      <c r="G34" s="5" t="s">
        <v>167</v>
      </c>
      <c r="H34" s="5" t="s">
        <v>329</v>
      </c>
      <c r="I34" s="5" t="s">
        <v>185</v>
      </c>
      <c r="J34" s="5" t="s">
        <v>330</v>
      </c>
      <c r="K34" s="5"/>
      <c r="L34" s="5" t="s">
        <v>256</v>
      </c>
      <c r="M34" s="5" t="s">
        <v>210</v>
      </c>
      <c r="N34" s="5" t="s">
        <v>200</v>
      </c>
      <c r="O34" s="5" t="s">
        <v>334</v>
      </c>
      <c r="P34" s="5"/>
      <c r="Q34" s="5" t="s">
        <v>378</v>
      </c>
      <c r="R34" s="181"/>
      <c r="S34" s="13" t="s">
        <v>6</v>
      </c>
      <c r="T34" s="14">
        <v>4</v>
      </c>
      <c r="U34" s="51"/>
    </row>
    <row r="35" spans="1:21" ht="276" customHeight="1" thickBot="1" x14ac:dyDescent="0.4">
      <c r="A35" s="179"/>
      <c r="B35" s="15" t="s">
        <v>7</v>
      </c>
      <c r="C35" s="20">
        <v>5</v>
      </c>
      <c r="D35" s="96"/>
      <c r="E35" s="96" t="s">
        <v>151</v>
      </c>
      <c r="F35" s="143"/>
      <c r="G35" s="96" t="s">
        <v>142</v>
      </c>
      <c r="H35" s="96" t="s">
        <v>329</v>
      </c>
      <c r="I35" s="143"/>
      <c r="J35" s="96" t="s">
        <v>185</v>
      </c>
      <c r="K35" s="143"/>
      <c r="L35" s="96" t="s">
        <v>331</v>
      </c>
      <c r="M35" s="96"/>
      <c r="N35" s="96" t="s">
        <v>210</v>
      </c>
      <c r="O35" s="143"/>
      <c r="P35" s="143"/>
      <c r="Q35" s="143"/>
      <c r="R35" s="181"/>
      <c r="S35" s="15" t="s">
        <v>7</v>
      </c>
      <c r="T35" s="16">
        <v>5</v>
      </c>
      <c r="U35" s="51"/>
    </row>
    <row r="36" spans="1:21" ht="45" customHeight="1" x14ac:dyDescent="0.35">
      <c r="A36" s="39"/>
      <c r="B36" s="39"/>
      <c r="L36" s="24"/>
      <c r="R36" s="153"/>
      <c r="S36" s="39"/>
      <c r="T36" s="39"/>
    </row>
  </sheetData>
  <mergeCells count="19">
    <mergeCell ref="B1:B5"/>
    <mergeCell ref="R6:R10"/>
    <mergeCell ref="A21:A25"/>
    <mergeCell ref="S1:S5"/>
    <mergeCell ref="A26:A30"/>
    <mergeCell ref="R1:R5"/>
    <mergeCell ref="T1:T5"/>
    <mergeCell ref="A31:A35"/>
    <mergeCell ref="R26:R30"/>
    <mergeCell ref="R31:R35"/>
    <mergeCell ref="R16:R20"/>
    <mergeCell ref="D5:Q5"/>
    <mergeCell ref="R21:R25"/>
    <mergeCell ref="A11:A15"/>
    <mergeCell ref="A1:A5"/>
    <mergeCell ref="C1:C5"/>
    <mergeCell ref="A6:A10"/>
    <mergeCell ref="R11:R15"/>
    <mergeCell ref="A16:A20"/>
  </mergeCells>
  <pageMargins left="0.25" right="0.25" top="0.75" bottom="0.75" header="0.3" footer="0.3"/>
  <pageSetup paperSize="9" scale="2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T36"/>
  <sheetViews>
    <sheetView tabSelected="1" zoomScale="33" zoomScaleNormal="33" zoomScaleSheetLayoutView="40" workbookViewId="0">
      <pane xSplit="3" ySplit="4" topLeftCell="D26" activePane="bottomRight" state="frozen"/>
      <selection pane="topRight" activeCell="D1" sqref="D1"/>
      <selection pane="bottomLeft" activeCell="A5" sqref="A5"/>
      <selection pane="bottomRight" activeCell="P3" sqref="P3"/>
    </sheetView>
  </sheetViews>
  <sheetFormatPr defaultColWidth="9.140625" defaultRowHeight="18.75" x14ac:dyDescent="0.3"/>
  <cols>
    <col min="1" max="1" width="9.140625" style="7" customWidth="1"/>
    <col min="2" max="2" width="12.42578125" style="8" customWidth="1"/>
    <col min="3" max="3" width="8.140625" style="8" customWidth="1"/>
    <col min="4" max="4" width="51.42578125" style="47" customWidth="1"/>
    <col min="5" max="5" width="55.28515625" style="47" customWidth="1"/>
    <col min="6" max="6" width="54.5703125" style="47" customWidth="1"/>
    <col min="7" max="7" width="53.42578125" style="47" customWidth="1"/>
    <col min="8" max="8" width="50.7109375" style="47" customWidth="1"/>
    <col min="9" max="9" width="57.28515625" style="47" customWidth="1"/>
    <col min="10" max="10" width="52.5703125" style="47" customWidth="1"/>
    <col min="11" max="11" width="50.28515625" style="47" customWidth="1"/>
    <col min="12" max="12" width="50" style="47" customWidth="1"/>
    <col min="13" max="13" width="52" style="47" customWidth="1"/>
    <col min="14" max="16" width="56.28515625" style="47" customWidth="1"/>
    <col min="17" max="17" width="9.140625" style="93" customWidth="1"/>
    <col min="18" max="18" width="12.42578125" style="8" customWidth="1"/>
    <col min="19" max="19" width="8.140625" style="8" customWidth="1"/>
    <col min="20" max="20" width="9.140625" style="4" customWidth="1"/>
    <col min="21" max="16384" width="9.140625" style="4"/>
  </cols>
  <sheetData>
    <row r="1" spans="1:20" ht="60" customHeight="1" thickBot="1" x14ac:dyDescent="0.3">
      <c r="A1" s="204" t="s">
        <v>0</v>
      </c>
      <c r="B1" s="203" t="s">
        <v>1</v>
      </c>
      <c r="C1" s="202" t="s">
        <v>2</v>
      </c>
      <c r="D1" s="77" t="s">
        <v>54</v>
      </c>
      <c r="E1" s="77" t="s">
        <v>57</v>
      </c>
      <c r="F1" s="77" t="s">
        <v>49</v>
      </c>
      <c r="G1" s="77" t="s">
        <v>50</v>
      </c>
      <c r="H1" s="77" t="s">
        <v>67</v>
      </c>
      <c r="I1" s="77" t="s">
        <v>74</v>
      </c>
      <c r="J1" s="77" t="s">
        <v>76</v>
      </c>
      <c r="K1" s="77" t="s">
        <v>84</v>
      </c>
      <c r="L1" s="77" t="s">
        <v>70</v>
      </c>
      <c r="M1" s="77" t="s">
        <v>69</v>
      </c>
      <c r="N1" s="77" t="s">
        <v>51</v>
      </c>
      <c r="O1" s="77" t="s">
        <v>63</v>
      </c>
      <c r="P1" s="77" t="s">
        <v>80</v>
      </c>
      <c r="Q1" s="203" t="s">
        <v>0</v>
      </c>
      <c r="R1" s="204" t="s">
        <v>1</v>
      </c>
      <c r="S1" s="202" t="s">
        <v>2</v>
      </c>
      <c r="T1" s="47"/>
    </row>
    <row r="2" spans="1:20" ht="201.75" customHeight="1" x14ac:dyDescent="0.25">
      <c r="A2" s="192"/>
      <c r="B2" s="172"/>
      <c r="C2" s="175"/>
      <c r="D2" s="44" t="s">
        <v>117</v>
      </c>
      <c r="E2" s="44" t="s">
        <v>123</v>
      </c>
      <c r="F2" s="44" t="s">
        <v>125</v>
      </c>
      <c r="G2" s="44" t="s">
        <v>128</v>
      </c>
      <c r="H2" s="44" t="s">
        <v>119</v>
      </c>
      <c r="I2" s="44" t="s">
        <v>120</v>
      </c>
      <c r="J2" s="44" t="s">
        <v>122</v>
      </c>
      <c r="K2" s="44" t="s">
        <v>121</v>
      </c>
      <c r="L2" s="44" t="s">
        <v>115</v>
      </c>
      <c r="M2" s="44" t="s">
        <v>124</v>
      </c>
      <c r="N2" s="44" t="s">
        <v>131</v>
      </c>
      <c r="O2" s="44" t="s">
        <v>118</v>
      </c>
      <c r="P2" s="44" t="s">
        <v>121</v>
      </c>
      <c r="Q2" s="172"/>
      <c r="R2" s="192"/>
      <c r="S2" s="175"/>
      <c r="T2" s="47"/>
    </row>
    <row r="3" spans="1:20" s="67" customFormat="1" ht="64.5" customHeight="1" thickBot="1" x14ac:dyDescent="0.3">
      <c r="A3" s="192"/>
      <c r="B3" s="172"/>
      <c r="C3" s="175"/>
      <c r="D3" s="78" t="s">
        <v>55</v>
      </c>
      <c r="E3" s="78" t="s">
        <v>56</v>
      </c>
      <c r="F3" s="78"/>
      <c r="G3" s="78"/>
      <c r="H3" s="78" t="s">
        <v>66</v>
      </c>
      <c r="I3" s="78" t="s">
        <v>363</v>
      </c>
      <c r="J3" s="78" t="s">
        <v>75</v>
      </c>
      <c r="K3" s="78" t="s">
        <v>83</v>
      </c>
      <c r="L3" s="78" t="s">
        <v>71</v>
      </c>
      <c r="M3" s="78" t="s">
        <v>68</v>
      </c>
      <c r="N3" s="78"/>
      <c r="O3" s="78" t="s">
        <v>62</v>
      </c>
      <c r="P3" s="78" t="s">
        <v>79</v>
      </c>
      <c r="Q3" s="172"/>
      <c r="R3" s="192"/>
      <c r="S3" s="175"/>
      <c r="T3" s="66"/>
    </row>
    <row r="4" spans="1:20" ht="40.5" customHeight="1" x14ac:dyDescent="0.25">
      <c r="A4" s="192"/>
      <c r="B4" s="172"/>
      <c r="C4" s="175"/>
      <c r="D4" s="32">
        <v>23</v>
      </c>
      <c r="E4" s="32">
        <v>16</v>
      </c>
      <c r="F4" s="32">
        <v>25</v>
      </c>
      <c r="G4" s="32">
        <v>25</v>
      </c>
      <c r="H4" s="32">
        <v>26</v>
      </c>
      <c r="I4" s="32">
        <v>32</v>
      </c>
      <c r="J4" s="32">
        <v>27</v>
      </c>
      <c r="K4" s="32">
        <v>12</v>
      </c>
      <c r="L4" s="32">
        <v>18</v>
      </c>
      <c r="M4" s="32">
        <v>15</v>
      </c>
      <c r="N4" s="32">
        <v>25</v>
      </c>
      <c r="O4" s="32">
        <v>5</v>
      </c>
      <c r="P4" s="32">
        <v>20</v>
      </c>
      <c r="Q4" s="172"/>
      <c r="R4" s="192"/>
      <c r="S4" s="175"/>
      <c r="T4" s="47"/>
    </row>
    <row r="5" spans="1:20" ht="66" customHeight="1" thickBot="1" x14ac:dyDescent="0.3">
      <c r="A5" s="205"/>
      <c r="B5" s="173"/>
      <c r="C5" s="176"/>
      <c r="D5" s="206" t="str">
        <f>'4к 9 кл, 3к 11 кл'!D5:G5</f>
        <v>1 неделя</v>
      </c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8"/>
      <c r="Q5" s="173"/>
      <c r="R5" s="205"/>
      <c r="S5" s="176"/>
      <c r="T5" s="47"/>
    </row>
    <row r="6" spans="1:20" ht="291.75" customHeight="1" x14ac:dyDescent="0.25">
      <c r="A6" s="201" t="str">
        <f>'4к 9 кл, 3к 11 кл'!A6:A10</f>
        <v>Понедельник  31.08.2026</v>
      </c>
      <c r="B6" s="33" t="s">
        <v>3</v>
      </c>
      <c r="C6" s="34">
        <v>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199" t="str">
        <f>'4к 9 кл, 3к 11 кл'!A6:A10</f>
        <v>Понедельник  31.08.2026</v>
      </c>
      <c r="R6" s="90" t="s">
        <v>3</v>
      </c>
      <c r="S6" s="48">
        <v>1</v>
      </c>
    </row>
    <row r="7" spans="1:20" ht="240.75" customHeight="1" x14ac:dyDescent="0.25">
      <c r="A7" s="178"/>
      <c r="B7" s="35" t="s">
        <v>4</v>
      </c>
      <c r="C7" s="36">
        <v>2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192"/>
      <c r="R7" s="91" t="s">
        <v>4</v>
      </c>
      <c r="S7" s="36">
        <v>2</v>
      </c>
      <c r="T7" s="47"/>
    </row>
    <row r="8" spans="1:20" ht="256.14999999999998" customHeight="1" x14ac:dyDescent="0.25">
      <c r="A8" s="178"/>
      <c r="B8" s="35" t="s">
        <v>5</v>
      </c>
      <c r="C8" s="36">
        <v>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192"/>
      <c r="R8" s="91" t="s">
        <v>5</v>
      </c>
      <c r="S8" s="36">
        <v>3</v>
      </c>
      <c r="T8" s="47"/>
    </row>
    <row r="9" spans="1:20" ht="201" customHeight="1" x14ac:dyDescent="0.25">
      <c r="A9" s="178"/>
      <c r="B9" s="35" t="s">
        <v>6</v>
      </c>
      <c r="C9" s="36">
        <v>4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192"/>
      <c r="R9" s="91" t="s">
        <v>6</v>
      </c>
      <c r="S9" s="36">
        <v>4</v>
      </c>
      <c r="T9" s="47"/>
    </row>
    <row r="10" spans="1:20" ht="206.25" customHeight="1" thickBot="1" x14ac:dyDescent="0.3">
      <c r="A10" s="179"/>
      <c r="B10" s="37" t="s">
        <v>7</v>
      </c>
      <c r="C10" s="38">
        <v>5</v>
      </c>
      <c r="D10" s="142"/>
      <c r="E10" s="142"/>
      <c r="F10" s="142"/>
      <c r="G10" s="142"/>
      <c r="H10" s="142"/>
      <c r="I10" s="142"/>
      <c r="J10" s="142"/>
      <c r="K10" s="96"/>
      <c r="L10" s="142"/>
      <c r="M10" s="142"/>
      <c r="N10" s="142"/>
      <c r="O10" s="142"/>
      <c r="P10" s="142"/>
      <c r="Q10" s="200"/>
      <c r="R10" s="92" t="s">
        <v>7</v>
      </c>
      <c r="S10" s="38">
        <v>5</v>
      </c>
      <c r="T10" s="47"/>
    </row>
    <row r="11" spans="1:20" ht="283.5" customHeight="1" x14ac:dyDescent="0.25">
      <c r="A11" s="201" t="str">
        <f>'4к 9 кл, 3к 11 кл'!A11:A15</f>
        <v>Вторник 01.09.2026</v>
      </c>
      <c r="B11" s="33" t="s">
        <v>3</v>
      </c>
      <c r="C11" s="34">
        <v>1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199" t="str">
        <f>'4к 9 кл, 3к 11 кл'!A11:A15</f>
        <v>Вторник 01.09.2026</v>
      </c>
      <c r="R11" s="90" t="s">
        <v>3</v>
      </c>
      <c r="S11" s="34">
        <v>1</v>
      </c>
      <c r="T11" s="47"/>
    </row>
    <row r="12" spans="1:20" ht="233.25" customHeight="1" x14ac:dyDescent="0.25">
      <c r="A12" s="178"/>
      <c r="B12" s="35" t="s">
        <v>4</v>
      </c>
      <c r="C12" s="36">
        <v>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192"/>
      <c r="R12" s="91" t="s">
        <v>4</v>
      </c>
      <c r="S12" s="36">
        <v>2</v>
      </c>
      <c r="T12" s="47"/>
    </row>
    <row r="13" spans="1:20" ht="264" customHeight="1" x14ac:dyDescent="0.25">
      <c r="A13" s="178"/>
      <c r="B13" s="35" t="s">
        <v>5</v>
      </c>
      <c r="C13" s="36">
        <v>3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92"/>
      <c r="R13" s="91" t="s">
        <v>5</v>
      </c>
      <c r="S13" s="36">
        <v>3</v>
      </c>
      <c r="T13" s="47"/>
    </row>
    <row r="14" spans="1:20" ht="250.5" customHeight="1" x14ac:dyDescent="0.25">
      <c r="A14" s="178"/>
      <c r="B14" s="35" t="s">
        <v>6</v>
      </c>
      <c r="C14" s="36">
        <v>4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192"/>
      <c r="R14" s="91" t="s">
        <v>6</v>
      </c>
      <c r="S14" s="36">
        <v>4</v>
      </c>
      <c r="T14" s="47"/>
    </row>
    <row r="15" spans="1:20" ht="211.5" customHeight="1" thickBot="1" x14ac:dyDescent="0.3">
      <c r="A15" s="179"/>
      <c r="B15" s="37" t="s">
        <v>7</v>
      </c>
      <c r="C15" s="38">
        <v>5</v>
      </c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200"/>
      <c r="R15" s="92" t="s">
        <v>7</v>
      </c>
      <c r="S15" s="38">
        <v>5</v>
      </c>
      <c r="T15" s="47"/>
    </row>
    <row r="16" spans="1:20" ht="208.5" customHeight="1" x14ac:dyDescent="0.25">
      <c r="A16" s="201" t="str">
        <f>'4к 9 кл, 3к 11 кл'!A16:A20</f>
        <v>Среда 02.09.2026</v>
      </c>
      <c r="B16" s="33" t="s">
        <v>3</v>
      </c>
      <c r="C16" s="34">
        <v>1</v>
      </c>
      <c r="D16" s="6"/>
      <c r="E16" s="6" t="s">
        <v>193</v>
      </c>
      <c r="F16" s="6"/>
      <c r="G16" s="6" t="s">
        <v>201</v>
      </c>
      <c r="H16" s="6"/>
      <c r="I16" s="6"/>
      <c r="J16" s="6"/>
      <c r="K16" s="6"/>
      <c r="L16" s="6" t="s">
        <v>209</v>
      </c>
      <c r="M16" s="6"/>
      <c r="N16" s="6"/>
      <c r="O16" s="6" t="s">
        <v>215</v>
      </c>
      <c r="P16" s="6" t="s">
        <v>145</v>
      </c>
      <c r="Q16" s="199" t="str">
        <f>'4к 9 кл, 3к 11 кл'!A16:A20</f>
        <v>Среда 02.09.2026</v>
      </c>
      <c r="R16" s="90" t="s">
        <v>3</v>
      </c>
      <c r="S16" s="48">
        <v>1</v>
      </c>
    </row>
    <row r="17" spans="1:20" ht="207.75" customHeight="1" x14ac:dyDescent="0.25">
      <c r="A17" s="178"/>
      <c r="B17" s="35" t="s">
        <v>4</v>
      </c>
      <c r="C17" s="36">
        <v>2</v>
      </c>
      <c r="D17" s="5"/>
      <c r="E17" s="5" t="s">
        <v>194</v>
      </c>
      <c r="F17" s="5" t="s">
        <v>187</v>
      </c>
      <c r="G17" s="5" t="s">
        <v>201</v>
      </c>
      <c r="H17" s="5" t="s">
        <v>189</v>
      </c>
      <c r="I17" s="5" t="s">
        <v>204</v>
      </c>
      <c r="J17" s="5"/>
      <c r="K17" s="5" t="s">
        <v>169</v>
      </c>
      <c r="L17" s="5" t="s">
        <v>209</v>
      </c>
      <c r="M17" s="5"/>
      <c r="N17" s="5"/>
      <c r="O17" s="5" t="s">
        <v>215</v>
      </c>
      <c r="P17" s="5" t="s">
        <v>145</v>
      </c>
      <c r="Q17" s="192"/>
      <c r="R17" s="91" t="s">
        <v>4</v>
      </c>
      <c r="S17" s="36">
        <v>2</v>
      </c>
      <c r="T17" s="47"/>
    </row>
    <row r="18" spans="1:20" ht="295.5" customHeight="1" x14ac:dyDescent="0.25">
      <c r="A18" s="178"/>
      <c r="B18" s="35" t="s">
        <v>5</v>
      </c>
      <c r="C18" s="36">
        <v>3</v>
      </c>
      <c r="D18" s="5" t="s">
        <v>192</v>
      </c>
      <c r="E18" s="5" t="s">
        <v>385</v>
      </c>
      <c r="F18" s="5" t="s">
        <v>187</v>
      </c>
      <c r="G18" s="5" t="s">
        <v>202</v>
      </c>
      <c r="H18" s="5" t="s">
        <v>189</v>
      </c>
      <c r="I18" s="5" t="s">
        <v>204</v>
      </c>
      <c r="J18" s="5" t="s">
        <v>384</v>
      </c>
      <c r="K18" s="5" t="s">
        <v>169</v>
      </c>
      <c r="L18" s="5" t="s">
        <v>200</v>
      </c>
      <c r="M18" s="5"/>
      <c r="N18" s="5"/>
      <c r="O18" s="5" t="s">
        <v>214</v>
      </c>
      <c r="P18" s="5" t="s">
        <v>217</v>
      </c>
      <c r="Q18" s="192"/>
      <c r="R18" s="91" t="s">
        <v>5</v>
      </c>
      <c r="S18" s="36">
        <v>3</v>
      </c>
      <c r="T18" s="47"/>
    </row>
    <row r="19" spans="1:20" ht="283.5" customHeight="1" x14ac:dyDescent="0.25">
      <c r="A19" s="178"/>
      <c r="B19" s="35" t="s">
        <v>6</v>
      </c>
      <c r="C19" s="36">
        <v>4</v>
      </c>
      <c r="D19" s="5" t="s">
        <v>195</v>
      </c>
      <c r="E19" s="5" t="s">
        <v>193</v>
      </c>
      <c r="F19" s="5" t="s">
        <v>197</v>
      </c>
      <c r="G19" s="5" t="s">
        <v>199</v>
      </c>
      <c r="H19" s="5" t="s">
        <v>203</v>
      </c>
      <c r="I19" s="5" t="s">
        <v>205</v>
      </c>
      <c r="J19" s="5" t="s">
        <v>207</v>
      </c>
      <c r="K19" s="5"/>
      <c r="L19" s="5" t="s">
        <v>210</v>
      </c>
      <c r="M19" s="5" t="s">
        <v>211</v>
      </c>
      <c r="N19" s="5"/>
      <c r="O19" s="5" t="s">
        <v>216</v>
      </c>
      <c r="P19" s="5"/>
      <c r="Q19" s="192"/>
      <c r="R19" s="91" t="s">
        <v>6</v>
      </c>
      <c r="S19" s="36">
        <v>4</v>
      </c>
      <c r="T19" s="47"/>
    </row>
    <row r="20" spans="1:20" ht="246.75" customHeight="1" thickBot="1" x14ac:dyDescent="0.3">
      <c r="A20" s="179"/>
      <c r="B20" s="37" t="s">
        <v>7</v>
      </c>
      <c r="C20" s="38">
        <v>5</v>
      </c>
      <c r="D20" s="96" t="s">
        <v>196</v>
      </c>
      <c r="E20" s="96" t="s">
        <v>194</v>
      </c>
      <c r="F20" s="96" t="s">
        <v>198</v>
      </c>
      <c r="G20" s="96" t="s">
        <v>195</v>
      </c>
      <c r="H20" s="96" t="s">
        <v>200</v>
      </c>
      <c r="I20" s="96"/>
      <c r="J20" s="96" t="s">
        <v>208</v>
      </c>
      <c r="K20" s="146"/>
      <c r="L20" s="96" t="s">
        <v>203</v>
      </c>
      <c r="M20" s="96" t="s">
        <v>212</v>
      </c>
      <c r="N20" s="96"/>
      <c r="O20" s="96" t="s">
        <v>213</v>
      </c>
      <c r="P20" s="96"/>
      <c r="Q20" s="200"/>
      <c r="R20" s="92" t="s">
        <v>7</v>
      </c>
      <c r="S20" s="38">
        <v>5</v>
      </c>
      <c r="T20" s="47"/>
    </row>
    <row r="21" spans="1:20" ht="189" customHeight="1" x14ac:dyDescent="0.25">
      <c r="A21" s="201" t="str">
        <f>'4к 9 кл, 3к 11 кл'!A21:A25</f>
        <v>Четверг 03.09.2026</v>
      </c>
      <c r="B21" s="33" t="s">
        <v>3</v>
      </c>
      <c r="C21" s="34">
        <v>1</v>
      </c>
      <c r="D21" s="149"/>
      <c r="E21" s="149"/>
      <c r="F21" s="149"/>
      <c r="G21" s="149"/>
      <c r="H21" s="149" t="s">
        <v>271</v>
      </c>
      <c r="I21" s="149"/>
      <c r="J21" s="149" t="s">
        <v>274</v>
      </c>
      <c r="K21" s="6" t="s">
        <v>145</v>
      </c>
      <c r="L21" s="149"/>
      <c r="M21" s="149" t="s">
        <v>268</v>
      </c>
      <c r="N21" s="149"/>
      <c r="O21" s="149"/>
      <c r="P21" s="149" t="s">
        <v>169</v>
      </c>
      <c r="Q21" s="199" t="str">
        <f>'4к 9 кл, 3к 11 кл'!A21:A25</f>
        <v>Четверг 03.09.2026</v>
      </c>
      <c r="R21" s="90" t="s">
        <v>3</v>
      </c>
      <c r="S21" s="34">
        <v>1</v>
      </c>
      <c r="T21" s="47"/>
    </row>
    <row r="22" spans="1:20" ht="195" customHeight="1" x14ac:dyDescent="0.25">
      <c r="A22" s="178"/>
      <c r="B22" s="35" t="s">
        <v>4</v>
      </c>
      <c r="C22" s="36">
        <v>2</v>
      </c>
      <c r="D22" s="5" t="s">
        <v>262</v>
      </c>
      <c r="E22" s="5" t="s">
        <v>265</v>
      </c>
      <c r="F22" s="5" t="s">
        <v>198</v>
      </c>
      <c r="G22" s="5"/>
      <c r="H22" s="5" t="s">
        <v>272</v>
      </c>
      <c r="I22" s="5"/>
      <c r="J22" s="5" t="s">
        <v>274</v>
      </c>
      <c r="K22" s="5" t="s">
        <v>145</v>
      </c>
      <c r="L22" s="5" t="s">
        <v>205</v>
      </c>
      <c r="M22" s="5" t="s">
        <v>269</v>
      </c>
      <c r="N22" s="5"/>
      <c r="O22" s="5" t="s">
        <v>191</v>
      </c>
      <c r="P22" s="5" t="s">
        <v>169</v>
      </c>
      <c r="Q22" s="192"/>
      <c r="R22" s="91" t="s">
        <v>4</v>
      </c>
      <c r="S22" s="36">
        <v>2</v>
      </c>
      <c r="T22" s="47"/>
    </row>
    <row r="23" spans="1:20" ht="258" customHeight="1" x14ac:dyDescent="0.25">
      <c r="A23" s="178"/>
      <c r="B23" s="35" t="s">
        <v>5</v>
      </c>
      <c r="C23" s="36">
        <v>3</v>
      </c>
      <c r="D23" s="5" t="s">
        <v>263</v>
      </c>
      <c r="E23" s="5" t="s">
        <v>265</v>
      </c>
      <c r="F23" s="5" t="s">
        <v>197</v>
      </c>
      <c r="G23" s="5"/>
      <c r="H23" s="5" t="s">
        <v>273</v>
      </c>
      <c r="I23" s="5" t="s">
        <v>394</v>
      </c>
      <c r="J23" s="5" t="s">
        <v>208</v>
      </c>
      <c r="K23" s="5" t="s">
        <v>217</v>
      </c>
      <c r="L23" s="5" t="s">
        <v>205</v>
      </c>
      <c r="M23" s="5" t="s">
        <v>270</v>
      </c>
      <c r="N23" s="5"/>
      <c r="O23" s="5" t="s">
        <v>257</v>
      </c>
      <c r="P23" s="5" t="s">
        <v>277</v>
      </c>
      <c r="Q23" s="192"/>
      <c r="R23" s="91" t="s">
        <v>5</v>
      </c>
      <c r="S23" s="36">
        <v>3</v>
      </c>
      <c r="T23" s="47"/>
    </row>
    <row r="24" spans="1:20" ht="211.5" customHeight="1" x14ac:dyDescent="0.25">
      <c r="A24" s="178"/>
      <c r="B24" s="35" t="s">
        <v>6</v>
      </c>
      <c r="C24" s="36">
        <v>4</v>
      </c>
      <c r="D24" s="136" t="s">
        <v>264</v>
      </c>
      <c r="E24" s="136"/>
      <c r="F24" s="136" t="s">
        <v>266</v>
      </c>
      <c r="G24" s="136" t="s">
        <v>267</v>
      </c>
      <c r="H24" s="136" t="s">
        <v>209</v>
      </c>
      <c r="I24" s="136" t="s">
        <v>262</v>
      </c>
      <c r="J24" s="136" t="s">
        <v>207</v>
      </c>
      <c r="K24" s="5"/>
      <c r="L24" s="136"/>
      <c r="M24" s="136" t="s">
        <v>200</v>
      </c>
      <c r="N24" s="136"/>
      <c r="O24" s="5" t="s">
        <v>275</v>
      </c>
      <c r="P24" s="136"/>
      <c r="Q24" s="192"/>
      <c r="R24" s="91" t="s">
        <v>6</v>
      </c>
      <c r="S24" s="49">
        <v>4</v>
      </c>
    </row>
    <row r="25" spans="1:20" ht="203.25" customHeight="1" thickBot="1" x14ac:dyDescent="0.3">
      <c r="A25" s="179"/>
      <c r="B25" s="37" t="s">
        <v>7</v>
      </c>
      <c r="C25" s="38">
        <v>5</v>
      </c>
      <c r="D25" s="147" t="s">
        <v>203</v>
      </c>
      <c r="E25" s="147"/>
      <c r="F25" s="147"/>
      <c r="G25" s="147" t="s">
        <v>268</v>
      </c>
      <c r="H25" s="147" t="s">
        <v>209</v>
      </c>
      <c r="I25" s="147" t="s">
        <v>262</v>
      </c>
      <c r="J25" s="147" t="s">
        <v>200</v>
      </c>
      <c r="K25" s="146"/>
      <c r="L25" s="147"/>
      <c r="M25" s="147"/>
      <c r="N25" s="147"/>
      <c r="O25" s="147" t="s">
        <v>276</v>
      </c>
      <c r="P25" s="147"/>
      <c r="Q25" s="200"/>
      <c r="R25" s="92" t="s">
        <v>7</v>
      </c>
      <c r="S25" s="38">
        <v>5</v>
      </c>
      <c r="T25" s="47"/>
    </row>
    <row r="26" spans="1:20" ht="207" customHeight="1" x14ac:dyDescent="0.25">
      <c r="A26" s="201" t="str">
        <f>'4к 9 кл, 3к 11 кл'!A26:A30</f>
        <v>Пятница 04.09.2026</v>
      </c>
      <c r="B26" s="33" t="s">
        <v>3</v>
      </c>
      <c r="C26" s="34">
        <v>1</v>
      </c>
      <c r="D26" s="6"/>
      <c r="E26" s="6" t="s">
        <v>203</v>
      </c>
      <c r="F26" s="6"/>
      <c r="G26" s="6"/>
      <c r="H26" s="6"/>
      <c r="I26" s="6"/>
      <c r="J26" s="6"/>
      <c r="K26" s="6" t="s">
        <v>277</v>
      </c>
      <c r="L26" s="6"/>
      <c r="M26" s="6"/>
      <c r="N26" s="6"/>
      <c r="O26" s="6"/>
      <c r="P26" s="6"/>
      <c r="Q26" s="199" t="str">
        <f>'4к 9 кл, 3к 11 кл'!A26:A30</f>
        <v>Пятница 04.09.2026</v>
      </c>
      <c r="R26" s="90" t="s">
        <v>3</v>
      </c>
      <c r="S26" s="34">
        <v>1</v>
      </c>
      <c r="T26" s="47"/>
    </row>
    <row r="27" spans="1:20" ht="213" customHeight="1" x14ac:dyDescent="0.25">
      <c r="A27" s="178"/>
      <c r="B27" s="35" t="s">
        <v>4</v>
      </c>
      <c r="C27" s="36">
        <v>2</v>
      </c>
      <c r="D27" s="5" t="s">
        <v>300</v>
      </c>
      <c r="E27" s="5" t="s">
        <v>262</v>
      </c>
      <c r="F27" s="5"/>
      <c r="G27" s="5"/>
      <c r="H27" s="5" t="s">
        <v>296</v>
      </c>
      <c r="I27" s="5" t="s">
        <v>313</v>
      </c>
      <c r="J27" s="5"/>
      <c r="K27" s="5" t="s">
        <v>205</v>
      </c>
      <c r="L27" s="5" t="s">
        <v>314</v>
      </c>
      <c r="M27" s="5"/>
      <c r="N27" s="5" t="s">
        <v>166</v>
      </c>
      <c r="O27" s="5"/>
      <c r="P27" s="5" t="s">
        <v>144</v>
      </c>
      <c r="Q27" s="192"/>
      <c r="R27" s="91" t="s">
        <v>4</v>
      </c>
      <c r="S27" s="36">
        <v>2</v>
      </c>
      <c r="T27" s="47"/>
    </row>
    <row r="28" spans="1:20" ht="408.75" customHeight="1" x14ac:dyDescent="0.25">
      <c r="A28" s="178"/>
      <c r="B28" s="35" t="s">
        <v>5</v>
      </c>
      <c r="C28" s="36">
        <v>3</v>
      </c>
      <c r="D28" s="5" t="s">
        <v>300</v>
      </c>
      <c r="E28" s="5" t="s">
        <v>193</v>
      </c>
      <c r="F28" s="5" t="s">
        <v>308</v>
      </c>
      <c r="G28" s="5"/>
      <c r="H28" s="5" t="s">
        <v>398</v>
      </c>
      <c r="I28" s="5" t="s">
        <v>313</v>
      </c>
      <c r="J28" s="6"/>
      <c r="K28" s="5" t="s">
        <v>205</v>
      </c>
      <c r="L28" s="6" t="s">
        <v>315</v>
      </c>
      <c r="M28" s="5"/>
      <c r="N28" s="5" t="s">
        <v>402</v>
      </c>
      <c r="O28" s="5" t="s">
        <v>402</v>
      </c>
      <c r="P28" s="5" t="s">
        <v>277</v>
      </c>
      <c r="Q28" s="192"/>
      <c r="R28" s="91" t="s">
        <v>5</v>
      </c>
      <c r="S28" s="36">
        <v>3</v>
      </c>
      <c r="T28" s="47"/>
    </row>
    <row r="29" spans="1:20" ht="207.75" customHeight="1" x14ac:dyDescent="0.25">
      <c r="A29" s="178"/>
      <c r="B29" s="35" t="s">
        <v>6</v>
      </c>
      <c r="C29" s="36">
        <v>4</v>
      </c>
      <c r="D29" s="136" t="s">
        <v>192</v>
      </c>
      <c r="E29" s="136"/>
      <c r="F29" s="136" t="s">
        <v>185</v>
      </c>
      <c r="G29" s="136" t="s">
        <v>309</v>
      </c>
      <c r="H29" s="5" t="s">
        <v>311</v>
      </c>
      <c r="I29" s="5" t="s">
        <v>203</v>
      </c>
      <c r="J29" s="5"/>
      <c r="K29" s="5" t="s">
        <v>144</v>
      </c>
      <c r="L29" s="5" t="s">
        <v>314</v>
      </c>
      <c r="M29" s="5"/>
      <c r="N29" s="5" t="s">
        <v>316</v>
      </c>
      <c r="O29" s="5" t="s">
        <v>275</v>
      </c>
      <c r="P29" s="5"/>
      <c r="Q29" s="192"/>
      <c r="R29" s="91" t="s">
        <v>6</v>
      </c>
      <c r="S29" s="36">
        <v>4</v>
      </c>
      <c r="T29" s="47"/>
    </row>
    <row r="30" spans="1:20" ht="212.25" customHeight="1" thickBot="1" x14ac:dyDescent="0.3">
      <c r="A30" s="179"/>
      <c r="B30" s="35" t="s">
        <v>7</v>
      </c>
      <c r="C30" s="36">
        <v>5</v>
      </c>
      <c r="D30" s="147" t="s">
        <v>263</v>
      </c>
      <c r="E30" s="147"/>
      <c r="F30" s="147" t="s">
        <v>308</v>
      </c>
      <c r="G30" s="147" t="s">
        <v>310</v>
      </c>
      <c r="H30" s="147" t="s">
        <v>312</v>
      </c>
      <c r="I30" s="96"/>
      <c r="J30" s="96"/>
      <c r="K30" s="96" t="s">
        <v>277</v>
      </c>
      <c r="L30" s="96" t="s">
        <v>315</v>
      </c>
      <c r="M30" s="96"/>
      <c r="N30" s="96" t="s">
        <v>185</v>
      </c>
      <c r="O30" s="96" t="s">
        <v>203</v>
      </c>
      <c r="P30" s="96"/>
      <c r="Q30" s="200"/>
      <c r="R30" s="91" t="s">
        <v>7</v>
      </c>
      <c r="S30" s="50">
        <v>5</v>
      </c>
    </row>
    <row r="31" spans="1:20" ht="275.25" customHeight="1" x14ac:dyDescent="0.25">
      <c r="A31" s="201" t="str">
        <f>'4к 9 кл, 3к 11 кл'!A31:A35</f>
        <v>Суббота 05.09.2026</v>
      </c>
      <c r="B31" s="33" t="s">
        <v>3</v>
      </c>
      <c r="C31" s="34">
        <v>1</v>
      </c>
      <c r="D31" s="6"/>
      <c r="E31" s="6" t="s">
        <v>337</v>
      </c>
      <c r="F31" s="6"/>
      <c r="G31" s="6"/>
      <c r="H31" s="6" t="s">
        <v>312</v>
      </c>
      <c r="I31" s="6" t="s">
        <v>346</v>
      </c>
      <c r="J31" s="6"/>
      <c r="K31" s="6"/>
      <c r="L31" s="6"/>
      <c r="M31" s="6" t="s">
        <v>349</v>
      </c>
      <c r="N31" s="6"/>
      <c r="O31" s="6"/>
      <c r="P31" s="6"/>
      <c r="Q31" s="199" t="str">
        <f>'4к 9 кл, 3к 11 кл'!A31:A35</f>
        <v>Суббота 05.09.2026</v>
      </c>
      <c r="R31" s="90" t="s">
        <v>3</v>
      </c>
      <c r="S31" s="34">
        <v>1</v>
      </c>
      <c r="T31" s="47"/>
    </row>
    <row r="32" spans="1:20" ht="267" customHeight="1" x14ac:dyDescent="0.25">
      <c r="A32" s="178"/>
      <c r="B32" s="35" t="s">
        <v>4</v>
      </c>
      <c r="C32" s="36">
        <v>2</v>
      </c>
      <c r="D32" s="5"/>
      <c r="E32" s="5" t="s">
        <v>339</v>
      </c>
      <c r="F32" s="5" t="s">
        <v>341</v>
      </c>
      <c r="G32" s="5"/>
      <c r="H32" s="5" t="s">
        <v>344</v>
      </c>
      <c r="I32" s="5" t="s">
        <v>346</v>
      </c>
      <c r="J32" s="5"/>
      <c r="K32" s="5"/>
      <c r="L32" s="5" t="s">
        <v>347</v>
      </c>
      <c r="M32" s="5" t="s">
        <v>340</v>
      </c>
      <c r="N32" s="5"/>
      <c r="O32" s="5"/>
      <c r="P32" s="5"/>
      <c r="Q32" s="192"/>
      <c r="R32" s="91" t="s">
        <v>4</v>
      </c>
      <c r="S32" s="36">
        <v>2</v>
      </c>
      <c r="T32" s="47"/>
    </row>
    <row r="33" spans="1:20" ht="246" customHeight="1" x14ac:dyDescent="0.25">
      <c r="A33" s="178"/>
      <c r="B33" s="35" t="s">
        <v>5</v>
      </c>
      <c r="C33" s="36">
        <v>3</v>
      </c>
      <c r="D33" s="5" t="s">
        <v>338</v>
      </c>
      <c r="E33" s="5" t="s">
        <v>265</v>
      </c>
      <c r="F33" s="5" t="s">
        <v>341</v>
      </c>
      <c r="G33" s="5"/>
      <c r="H33" s="5" t="s">
        <v>345</v>
      </c>
      <c r="I33" s="5"/>
      <c r="J33" s="5"/>
      <c r="K33" s="5"/>
      <c r="L33" s="5" t="s">
        <v>348</v>
      </c>
      <c r="M33" s="5"/>
      <c r="N33" s="5"/>
      <c r="O33" s="5"/>
      <c r="P33" s="5"/>
      <c r="Q33" s="192"/>
      <c r="R33" s="91" t="s">
        <v>5</v>
      </c>
      <c r="S33" s="36">
        <v>3</v>
      </c>
      <c r="T33" s="47"/>
    </row>
    <row r="34" spans="1:20" ht="279" customHeight="1" x14ac:dyDescent="0.25">
      <c r="A34" s="178"/>
      <c r="B34" s="35" t="s">
        <v>6</v>
      </c>
      <c r="C34" s="36">
        <v>4</v>
      </c>
      <c r="D34" s="5" t="s">
        <v>337</v>
      </c>
      <c r="E34" s="5" t="s">
        <v>265</v>
      </c>
      <c r="F34" s="5" t="s">
        <v>343</v>
      </c>
      <c r="G34" s="5"/>
      <c r="H34" s="5" t="s">
        <v>340</v>
      </c>
      <c r="I34" s="5"/>
      <c r="J34" s="5"/>
      <c r="K34" s="5"/>
      <c r="L34" s="5" t="s">
        <v>348</v>
      </c>
      <c r="M34" s="5"/>
      <c r="N34" s="5"/>
      <c r="O34" s="5"/>
      <c r="P34" s="5"/>
      <c r="Q34" s="192"/>
      <c r="R34" s="91" t="s">
        <v>6</v>
      </c>
      <c r="S34" s="36">
        <v>4</v>
      </c>
      <c r="T34" s="47"/>
    </row>
    <row r="35" spans="1:20" ht="232.5" customHeight="1" thickBot="1" x14ac:dyDescent="0.3">
      <c r="A35" s="179"/>
      <c r="B35" s="37" t="s">
        <v>7</v>
      </c>
      <c r="C35" s="42">
        <v>5</v>
      </c>
      <c r="D35" s="96" t="s">
        <v>340</v>
      </c>
      <c r="E35" s="96"/>
      <c r="F35" s="96" t="s">
        <v>342</v>
      </c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200"/>
      <c r="R35" s="92" t="s">
        <v>7</v>
      </c>
      <c r="S35" s="36">
        <v>5</v>
      </c>
      <c r="T35" s="47"/>
    </row>
    <row r="36" spans="1:20" x14ac:dyDescent="0.3">
      <c r="C36" s="43"/>
      <c r="G36" s="76"/>
      <c r="L36" s="76"/>
      <c r="M36" s="76"/>
    </row>
  </sheetData>
  <mergeCells count="19">
    <mergeCell ref="A31:A35"/>
    <mergeCell ref="R1:R5"/>
    <mergeCell ref="Q6:Q10"/>
    <mergeCell ref="A11:A15"/>
    <mergeCell ref="A1:A5"/>
    <mergeCell ref="C1:C5"/>
    <mergeCell ref="A6:A10"/>
    <mergeCell ref="Q1:Q5"/>
    <mergeCell ref="A16:A20"/>
    <mergeCell ref="Q31:Q35"/>
    <mergeCell ref="A21:A25"/>
    <mergeCell ref="D5:P5"/>
    <mergeCell ref="Q16:Q20"/>
    <mergeCell ref="A26:A30"/>
    <mergeCell ref="Q21:Q25"/>
    <mergeCell ref="S1:S5"/>
    <mergeCell ref="B1:B5"/>
    <mergeCell ref="Q26:Q30"/>
    <mergeCell ref="Q11:Q15"/>
  </mergeCells>
  <pageMargins left="0.25" right="0.25" top="0.75" bottom="0.75" header="0.3" footer="0.3"/>
  <pageSetup paperSize="9" scale="1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R37"/>
  <sheetViews>
    <sheetView zoomScale="39" zoomScaleNormal="39" workbookViewId="0">
      <pane xSplit="3" ySplit="3" topLeftCell="G26" activePane="bottomRight" state="frozen"/>
      <selection pane="topRight" activeCell="D1" sqref="D1"/>
      <selection pane="bottomLeft" activeCell="A4" sqref="A4"/>
      <selection pane="bottomRight" activeCell="L3" sqref="L3"/>
    </sheetView>
  </sheetViews>
  <sheetFormatPr defaultRowHeight="18.75" x14ac:dyDescent="0.3"/>
  <cols>
    <col min="1" max="1" width="9.140625" style="7" customWidth="1"/>
    <col min="2" max="2" width="12.42578125" style="8" customWidth="1"/>
    <col min="3" max="3" width="8.140625" style="8" customWidth="1"/>
    <col min="4" max="4" width="58.28515625" style="47" customWidth="1"/>
    <col min="5" max="5" width="59.28515625" style="47" customWidth="1"/>
    <col min="6" max="6" width="68.7109375" style="47" customWidth="1"/>
    <col min="7" max="7" width="68.42578125" style="47" customWidth="1"/>
    <col min="8" max="9" width="62.85546875" style="47" customWidth="1"/>
    <col min="10" max="10" width="66.7109375" style="47" customWidth="1"/>
    <col min="11" max="15" width="62.85546875" style="47" customWidth="1"/>
    <col min="16" max="16" width="9.140625" style="7" customWidth="1"/>
    <col min="17" max="17" width="12.42578125" style="8" customWidth="1"/>
    <col min="18" max="18" width="8.140625" style="89" customWidth="1"/>
  </cols>
  <sheetData>
    <row r="1" spans="1:18" ht="28.5" customHeight="1" thickBot="1" x14ac:dyDescent="0.3">
      <c r="A1" s="204" t="s">
        <v>0</v>
      </c>
      <c r="B1" s="203" t="s">
        <v>1</v>
      </c>
      <c r="C1" s="202" t="s">
        <v>2</v>
      </c>
      <c r="D1" s="77" t="s">
        <v>14</v>
      </c>
      <c r="E1" s="77" t="s">
        <v>18</v>
      </c>
      <c r="F1" s="77" t="s">
        <v>17</v>
      </c>
      <c r="G1" s="77" t="s">
        <v>16</v>
      </c>
      <c r="H1" s="77" t="s">
        <v>98</v>
      </c>
      <c r="I1" s="77" t="s">
        <v>109</v>
      </c>
      <c r="J1" s="77" t="s">
        <v>110</v>
      </c>
      <c r="K1" s="77" t="s">
        <v>359</v>
      </c>
      <c r="L1" s="77" t="s">
        <v>360</v>
      </c>
      <c r="M1" s="77" t="s">
        <v>362</v>
      </c>
      <c r="N1" s="77" t="s">
        <v>364</v>
      </c>
      <c r="O1" s="77" t="s">
        <v>366</v>
      </c>
      <c r="P1" s="211" t="s">
        <v>0</v>
      </c>
      <c r="Q1" s="202" t="s">
        <v>1</v>
      </c>
      <c r="R1" s="203" t="s">
        <v>2</v>
      </c>
    </row>
    <row r="2" spans="1:18" ht="150" customHeight="1" x14ac:dyDescent="0.25">
      <c r="A2" s="192"/>
      <c r="B2" s="172"/>
      <c r="C2" s="175"/>
      <c r="D2" s="44" t="s">
        <v>113</v>
      </c>
      <c r="E2" s="44" t="s">
        <v>124</v>
      </c>
      <c r="F2" s="44" t="s">
        <v>116</v>
      </c>
      <c r="G2" s="44" t="s">
        <v>125</v>
      </c>
      <c r="H2" s="44" t="s">
        <v>114</v>
      </c>
      <c r="I2" s="44" t="s">
        <v>113</v>
      </c>
      <c r="J2" s="44" t="s">
        <v>113</v>
      </c>
      <c r="K2" s="44" t="s">
        <v>115</v>
      </c>
      <c r="L2" s="44" t="s">
        <v>115</v>
      </c>
      <c r="M2" s="44" t="s">
        <v>121</v>
      </c>
      <c r="N2" s="44" t="s">
        <v>120</v>
      </c>
      <c r="O2" s="44" t="s">
        <v>119</v>
      </c>
      <c r="P2" s="181"/>
      <c r="Q2" s="175"/>
      <c r="R2" s="172"/>
    </row>
    <row r="3" spans="1:18" ht="60" customHeight="1" thickBot="1" x14ac:dyDescent="0.3">
      <c r="A3" s="192"/>
      <c r="B3" s="172"/>
      <c r="C3" s="175"/>
      <c r="D3" s="165" t="s">
        <v>97</v>
      </c>
      <c r="E3" s="165" t="s">
        <v>24</v>
      </c>
      <c r="F3" s="165" t="s">
        <v>23</v>
      </c>
      <c r="G3" s="165" t="s">
        <v>22</v>
      </c>
      <c r="H3" s="165" t="s">
        <v>99</v>
      </c>
      <c r="I3" s="165" t="s">
        <v>111</v>
      </c>
      <c r="J3" s="165" t="s">
        <v>112</v>
      </c>
      <c r="K3" s="165" t="s">
        <v>358</v>
      </c>
      <c r="L3" s="165" t="s">
        <v>361</v>
      </c>
      <c r="M3" s="165" t="s">
        <v>375</v>
      </c>
      <c r="N3" s="165" t="s">
        <v>365</v>
      </c>
      <c r="O3" s="165" t="s">
        <v>374</v>
      </c>
      <c r="P3" s="181"/>
      <c r="Q3" s="175"/>
      <c r="R3" s="172"/>
    </row>
    <row r="4" spans="1:18" ht="23.25" customHeight="1" x14ac:dyDescent="0.25">
      <c r="A4" s="192"/>
      <c r="B4" s="172"/>
      <c r="C4" s="175"/>
      <c r="D4" s="32">
        <v>20</v>
      </c>
      <c r="E4" s="32">
        <v>8</v>
      </c>
      <c r="F4" s="32">
        <v>14</v>
      </c>
      <c r="G4" s="32">
        <v>11</v>
      </c>
      <c r="H4" s="32">
        <v>29</v>
      </c>
      <c r="I4" s="32">
        <v>31</v>
      </c>
      <c r="J4" s="32">
        <v>29</v>
      </c>
      <c r="K4" s="32">
        <v>34</v>
      </c>
      <c r="L4" s="32">
        <v>35</v>
      </c>
      <c r="M4" s="32">
        <v>35</v>
      </c>
      <c r="N4" s="32">
        <v>33</v>
      </c>
      <c r="O4" s="32">
        <v>30</v>
      </c>
      <c r="P4" s="181"/>
      <c r="Q4" s="175"/>
      <c r="R4" s="172"/>
    </row>
    <row r="5" spans="1:18" ht="47.25" customHeight="1" thickBot="1" x14ac:dyDescent="0.3">
      <c r="A5" s="205"/>
      <c r="B5" s="173"/>
      <c r="C5" s="176"/>
      <c r="D5" s="207" t="str">
        <f>'4к 9 кл, 3к 11 кл'!D5:G5</f>
        <v>1 неделя</v>
      </c>
      <c r="E5" s="207"/>
      <c r="F5" s="207"/>
      <c r="G5" s="207"/>
      <c r="H5" s="207"/>
      <c r="I5" s="207"/>
      <c r="J5" s="207"/>
      <c r="K5" s="208"/>
      <c r="L5" s="170"/>
      <c r="M5" s="170"/>
      <c r="N5" s="170"/>
      <c r="O5" s="170"/>
      <c r="P5" s="181"/>
      <c r="Q5" s="176"/>
      <c r="R5" s="173"/>
    </row>
    <row r="6" spans="1:18" ht="210" customHeight="1" x14ac:dyDescent="0.25">
      <c r="A6" s="210" t="s">
        <v>43</v>
      </c>
      <c r="B6" s="33" t="s">
        <v>3</v>
      </c>
      <c r="C6" s="34">
        <v>1</v>
      </c>
      <c r="D6" s="5"/>
      <c r="E6" s="5"/>
      <c r="F6" s="5"/>
      <c r="G6" s="5"/>
      <c r="H6" s="5"/>
      <c r="I6" s="162"/>
      <c r="J6" s="162"/>
      <c r="K6" s="5"/>
      <c r="L6" s="5"/>
      <c r="M6" s="5"/>
      <c r="N6" s="5"/>
      <c r="O6" s="5"/>
      <c r="P6" s="209" t="str">
        <f>'4к 9 кл, 3к 11 кл'!A6:A10</f>
        <v>Понедельник  31.08.2026</v>
      </c>
      <c r="Q6" s="86" t="s">
        <v>3</v>
      </c>
      <c r="R6" s="48">
        <v>1</v>
      </c>
    </row>
    <row r="7" spans="1:18" ht="195" customHeight="1" x14ac:dyDescent="0.25">
      <c r="A7" s="178"/>
      <c r="B7" s="35" t="s">
        <v>4</v>
      </c>
      <c r="C7" s="36">
        <v>2</v>
      </c>
      <c r="D7" s="5"/>
      <c r="E7" s="5"/>
      <c r="F7" s="5"/>
      <c r="G7" s="5"/>
      <c r="H7" s="5"/>
      <c r="I7" s="162"/>
      <c r="J7" s="162"/>
      <c r="K7" s="5"/>
      <c r="L7" s="5"/>
      <c r="M7" s="5"/>
      <c r="N7" s="5"/>
      <c r="O7" s="5"/>
      <c r="P7" s="181"/>
      <c r="Q7" s="87" t="s">
        <v>4</v>
      </c>
      <c r="R7" s="49">
        <v>2</v>
      </c>
    </row>
    <row r="8" spans="1:18" ht="176.25" customHeight="1" x14ac:dyDescent="0.25">
      <c r="A8" s="178"/>
      <c r="B8" s="35" t="s">
        <v>5</v>
      </c>
      <c r="C8" s="36">
        <v>3</v>
      </c>
      <c r="D8" s="5"/>
      <c r="E8" s="5"/>
      <c r="F8" s="5"/>
      <c r="G8" s="126"/>
      <c r="H8" s="5"/>
      <c r="I8" s="162"/>
      <c r="J8" s="162"/>
      <c r="K8" s="5"/>
      <c r="L8" s="5"/>
      <c r="M8" s="5"/>
      <c r="N8" s="5"/>
      <c r="O8" s="5"/>
      <c r="P8" s="181"/>
      <c r="Q8" s="87" t="s">
        <v>5</v>
      </c>
      <c r="R8" s="49">
        <v>3</v>
      </c>
    </row>
    <row r="9" spans="1:18" ht="208.5" customHeight="1" x14ac:dyDescent="0.25">
      <c r="A9" s="178"/>
      <c r="B9" s="35" t="s">
        <v>6</v>
      </c>
      <c r="C9" s="36">
        <v>4</v>
      </c>
      <c r="D9" s="5"/>
      <c r="E9" s="5"/>
      <c r="F9" s="5"/>
      <c r="G9" s="126"/>
      <c r="H9" s="5"/>
      <c r="I9" s="162"/>
      <c r="J9" s="162"/>
      <c r="K9" s="5"/>
      <c r="L9" s="5"/>
      <c r="M9" s="5"/>
      <c r="N9" s="5"/>
      <c r="O9" s="5"/>
      <c r="P9" s="181"/>
      <c r="Q9" s="87" t="s">
        <v>6</v>
      </c>
      <c r="R9" s="49">
        <v>4</v>
      </c>
    </row>
    <row r="10" spans="1:18" ht="232.5" customHeight="1" thickBot="1" x14ac:dyDescent="0.3">
      <c r="A10" s="178"/>
      <c r="B10" s="35" t="s">
        <v>7</v>
      </c>
      <c r="C10" s="49">
        <v>5</v>
      </c>
      <c r="D10" s="96"/>
      <c r="E10" s="96"/>
      <c r="F10" s="96"/>
      <c r="G10" s="96"/>
      <c r="H10" s="96"/>
      <c r="I10" s="163"/>
      <c r="J10" s="163"/>
      <c r="K10" s="96"/>
      <c r="L10" s="96"/>
      <c r="M10" s="96"/>
      <c r="N10" s="96"/>
      <c r="O10" s="96"/>
      <c r="P10" s="181"/>
      <c r="Q10" s="35" t="s">
        <v>7</v>
      </c>
      <c r="R10" s="97">
        <v>5</v>
      </c>
    </row>
    <row r="11" spans="1:18" ht="183.75" customHeight="1" x14ac:dyDescent="0.25">
      <c r="A11" s="201" t="str">
        <f>'4к 9 кл, 3к 11 кл'!A11:A15</f>
        <v>Вторник 01.09.2026</v>
      </c>
      <c r="B11" s="33" t="s">
        <v>3</v>
      </c>
      <c r="C11" s="34">
        <v>1</v>
      </c>
      <c r="D11" s="6"/>
      <c r="E11" s="6"/>
      <c r="F11" s="6"/>
      <c r="G11" s="6"/>
      <c r="H11" s="6"/>
      <c r="I11" s="164"/>
      <c r="J11" s="164"/>
      <c r="K11" s="6"/>
      <c r="L11" s="6"/>
      <c r="M11" s="6"/>
      <c r="N11" s="6"/>
      <c r="O11" s="6"/>
      <c r="P11" s="209" t="str">
        <f>'4к 9 кл, 3к 11 кл'!A11:A15</f>
        <v>Вторник 01.09.2026</v>
      </c>
      <c r="Q11" s="86" t="s">
        <v>3</v>
      </c>
      <c r="R11" s="48">
        <v>1</v>
      </c>
    </row>
    <row r="12" spans="1:18" ht="210" customHeight="1" x14ac:dyDescent="0.25">
      <c r="A12" s="178"/>
      <c r="B12" s="35" t="s">
        <v>4</v>
      </c>
      <c r="C12" s="36">
        <v>2</v>
      </c>
      <c r="D12" s="5"/>
      <c r="E12" s="5"/>
      <c r="F12" s="5"/>
      <c r="G12" s="126"/>
      <c r="H12" s="5"/>
      <c r="I12" s="162"/>
      <c r="J12" s="162"/>
      <c r="K12" s="5"/>
      <c r="L12" s="5"/>
      <c r="M12" s="5"/>
      <c r="N12" s="5"/>
      <c r="O12" s="5"/>
      <c r="P12" s="181"/>
      <c r="Q12" s="87" t="s">
        <v>4</v>
      </c>
      <c r="R12" s="49">
        <v>2</v>
      </c>
    </row>
    <row r="13" spans="1:18" ht="171.75" customHeight="1" x14ac:dyDescent="0.25">
      <c r="A13" s="178"/>
      <c r="B13" s="35" t="s">
        <v>5</v>
      </c>
      <c r="C13" s="36">
        <v>3</v>
      </c>
      <c r="D13" s="5"/>
      <c r="E13" s="5"/>
      <c r="F13" s="5"/>
      <c r="G13" s="126"/>
      <c r="H13" s="5"/>
      <c r="I13" s="162"/>
      <c r="J13" s="162"/>
      <c r="K13" s="5"/>
      <c r="L13" s="5"/>
      <c r="M13" s="5"/>
      <c r="N13" s="5"/>
      <c r="O13" s="5"/>
      <c r="P13" s="181"/>
      <c r="Q13" s="87" t="s">
        <v>5</v>
      </c>
      <c r="R13" s="49">
        <v>3</v>
      </c>
    </row>
    <row r="14" spans="1:18" ht="219.75" customHeight="1" x14ac:dyDescent="0.25">
      <c r="A14" s="178"/>
      <c r="B14" s="35" t="s">
        <v>6</v>
      </c>
      <c r="C14" s="36">
        <v>4</v>
      </c>
      <c r="D14" s="5" t="s">
        <v>151</v>
      </c>
      <c r="E14" s="5" t="s">
        <v>152</v>
      </c>
      <c r="F14" s="5" t="s">
        <v>153</v>
      </c>
      <c r="G14" s="5"/>
      <c r="H14" s="5" t="s">
        <v>155</v>
      </c>
      <c r="I14" s="162" t="s">
        <v>156</v>
      </c>
      <c r="J14" s="162"/>
      <c r="K14" s="5"/>
      <c r="L14" s="5"/>
      <c r="M14" s="5"/>
      <c r="N14" s="5"/>
      <c r="O14" s="5" t="s">
        <v>370</v>
      </c>
      <c r="P14" s="181"/>
      <c r="Q14" s="87" t="s">
        <v>6</v>
      </c>
      <c r="R14" s="49">
        <v>4</v>
      </c>
    </row>
    <row r="15" spans="1:18" ht="222.75" customHeight="1" thickBot="1" x14ac:dyDescent="0.3">
      <c r="A15" s="179"/>
      <c r="B15" s="37" t="s">
        <v>7</v>
      </c>
      <c r="C15" s="38">
        <v>5</v>
      </c>
      <c r="D15" s="96" t="s">
        <v>151</v>
      </c>
      <c r="E15" s="96" t="s">
        <v>152</v>
      </c>
      <c r="F15" s="96" t="s">
        <v>154</v>
      </c>
      <c r="G15" s="138"/>
      <c r="H15" s="96"/>
      <c r="I15" s="163" t="s">
        <v>155</v>
      </c>
      <c r="J15" s="163"/>
      <c r="K15" s="96"/>
      <c r="L15" s="96"/>
      <c r="M15" s="96"/>
      <c r="N15" s="96"/>
      <c r="O15" s="96" t="s">
        <v>370</v>
      </c>
      <c r="P15" s="181"/>
      <c r="Q15" s="88" t="s">
        <v>7</v>
      </c>
      <c r="R15" s="50">
        <v>5</v>
      </c>
    </row>
    <row r="16" spans="1:18" ht="177.75" customHeight="1" x14ac:dyDescent="0.25">
      <c r="A16" s="210" t="s">
        <v>100</v>
      </c>
      <c r="B16" s="33" t="s">
        <v>3</v>
      </c>
      <c r="C16" s="34">
        <v>1</v>
      </c>
      <c r="D16" s="5"/>
      <c r="E16" s="5"/>
      <c r="F16" s="5"/>
      <c r="G16" s="6"/>
      <c r="H16" s="5"/>
      <c r="I16" s="162" t="s">
        <v>206</v>
      </c>
      <c r="J16" s="162"/>
      <c r="K16" s="5"/>
      <c r="L16" s="5"/>
      <c r="M16" s="5"/>
      <c r="N16" s="5" t="s">
        <v>203</v>
      </c>
      <c r="O16" s="5"/>
      <c r="P16" s="209" t="str">
        <f>'4к 9 кл, 3к 11 кл'!A16:A20</f>
        <v>Среда 02.09.2026</v>
      </c>
      <c r="Q16" s="86" t="s">
        <v>3</v>
      </c>
      <c r="R16" s="48">
        <v>1</v>
      </c>
    </row>
    <row r="17" spans="1:18" ht="174" customHeight="1" x14ac:dyDescent="0.25">
      <c r="A17" s="178"/>
      <c r="B17" s="35" t="s">
        <v>4</v>
      </c>
      <c r="C17" s="36">
        <v>2</v>
      </c>
      <c r="D17" s="5"/>
      <c r="E17" s="5"/>
      <c r="F17" s="5"/>
      <c r="G17" s="6"/>
      <c r="H17" s="5"/>
      <c r="I17" s="162" t="s">
        <v>155</v>
      </c>
      <c r="J17" s="162" t="s">
        <v>206</v>
      </c>
      <c r="K17" s="5" t="s">
        <v>367</v>
      </c>
      <c r="L17" s="5"/>
      <c r="M17" s="5"/>
      <c r="N17" s="5" t="s">
        <v>203</v>
      </c>
      <c r="O17" s="5"/>
      <c r="P17" s="181"/>
      <c r="Q17" s="87" t="s">
        <v>4</v>
      </c>
      <c r="R17" s="49">
        <v>2</v>
      </c>
    </row>
    <row r="18" spans="1:18" ht="257.25" customHeight="1" x14ac:dyDescent="0.25">
      <c r="A18" s="178"/>
      <c r="B18" s="35" t="s">
        <v>5</v>
      </c>
      <c r="C18" s="36">
        <v>3</v>
      </c>
      <c r="D18" s="5"/>
      <c r="E18" s="5"/>
      <c r="F18" s="5"/>
      <c r="G18" s="6" t="s">
        <v>185</v>
      </c>
      <c r="H18" s="5"/>
      <c r="I18" s="162" t="s">
        <v>155</v>
      </c>
      <c r="J18" s="162" t="s">
        <v>166</v>
      </c>
      <c r="K18" s="5" t="s">
        <v>368</v>
      </c>
      <c r="L18" s="5"/>
      <c r="M18" s="5"/>
      <c r="N18" s="5"/>
      <c r="O18" s="5" t="s">
        <v>203</v>
      </c>
      <c r="P18" s="181"/>
      <c r="Q18" s="87" t="s">
        <v>5</v>
      </c>
      <c r="R18" s="49">
        <v>3</v>
      </c>
    </row>
    <row r="19" spans="1:18" ht="165" customHeight="1" x14ac:dyDescent="0.25">
      <c r="A19" s="178"/>
      <c r="B19" s="35" t="s">
        <v>6</v>
      </c>
      <c r="C19" s="36">
        <v>4</v>
      </c>
      <c r="D19" s="5" t="s">
        <v>177</v>
      </c>
      <c r="E19" s="5" t="s">
        <v>184</v>
      </c>
      <c r="F19" s="5" t="s">
        <v>160</v>
      </c>
      <c r="G19" s="5" t="s">
        <v>186</v>
      </c>
      <c r="H19" s="5" t="s">
        <v>188</v>
      </c>
      <c r="I19" s="162"/>
      <c r="J19" s="162" t="s">
        <v>191</v>
      </c>
      <c r="K19" s="5" t="s">
        <v>368</v>
      </c>
      <c r="L19" s="5"/>
      <c r="M19" s="5"/>
      <c r="N19" s="5"/>
      <c r="O19" s="5"/>
      <c r="P19" s="181"/>
      <c r="Q19" s="87" t="s">
        <v>6</v>
      </c>
      <c r="R19" s="49">
        <v>4</v>
      </c>
    </row>
    <row r="20" spans="1:18" ht="192.75" customHeight="1" thickBot="1" x14ac:dyDescent="0.3">
      <c r="A20" s="178"/>
      <c r="B20" s="122" t="s">
        <v>7</v>
      </c>
      <c r="C20" s="42">
        <v>5</v>
      </c>
      <c r="D20" s="96" t="s">
        <v>180</v>
      </c>
      <c r="E20" s="96" t="s">
        <v>184</v>
      </c>
      <c r="F20" s="96" t="s">
        <v>178</v>
      </c>
      <c r="G20" s="96" t="s">
        <v>187</v>
      </c>
      <c r="H20" s="96" t="s">
        <v>189</v>
      </c>
      <c r="I20" s="163"/>
      <c r="J20" s="163" t="s">
        <v>191</v>
      </c>
      <c r="K20" s="96" t="s">
        <v>369</v>
      </c>
      <c r="L20" s="96"/>
      <c r="M20" s="96"/>
      <c r="N20" s="96"/>
      <c r="O20" s="96"/>
      <c r="P20" s="181"/>
      <c r="Q20" s="123" t="s">
        <v>7</v>
      </c>
      <c r="R20" s="97">
        <v>5</v>
      </c>
    </row>
    <row r="21" spans="1:18" ht="166.5" customHeight="1" x14ac:dyDescent="0.25">
      <c r="A21" s="201" t="str">
        <f>'4к 9 кл, 3к 11 кл'!A21:A25</f>
        <v>Четверг 03.09.2026</v>
      </c>
      <c r="B21" s="33" t="s">
        <v>3</v>
      </c>
      <c r="C21" s="34">
        <v>1</v>
      </c>
      <c r="D21" s="6"/>
      <c r="E21" s="6"/>
      <c r="F21" s="6"/>
      <c r="G21" s="6" t="s">
        <v>260</v>
      </c>
      <c r="H21" s="6"/>
      <c r="I21" s="164"/>
      <c r="J21" s="164" t="s">
        <v>155</v>
      </c>
      <c r="K21" s="6"/>
      <c r="L21" s="6"/>
      <c r="M21" s="6" t="s">
        <v>277</v>
      </c>
      <c r="N21" s="6"/>
      <c r="O21" s="6"/>
      <c r="P21" s="209" t="str">
        <f>'4к 9 кл, 3к 11 кл'!A21:A25</f>
        <v>Четверг 03.09.2026</v>
      </c>
      <c r="Q21" s="86" t="s">
        <v>3</v>
      </c>
      <c r="R21" s="48">
        <v>1</v>
      </c>
    </row>
    <row r="22" spans="1:18" ht="207.75" customHeight="1" x14ac:dyDescent="0.25">
      <c r="A22" s="178"/>
      <c r="B22" s="35" t="s">
        <v>4</v>
      </c>
      <c r="C22" s="36">
        <v>2</v>
      </c>
      <c r="D22" s="5"/>
      <c r="E22" s="5"/>
      <c r="F22" s="5" t="s">
        <v>190</v>
      </c>
      <c r="G22" s="126" t="s">
        <v>186</v>
      </c>
      <c r="H22" s="5"/>
      <c r="I22" s="162"/>
      <c r="J22" s="162" t="s">
        <v>155</v>
      </c>
      <c r="K22" s="5"/>
      <c r="L22" s="5"/>
      <c r="M22" s="5" t="s">
        <v>144</v>
      </c>
      <c r="N22" s="5"/>
      <c r="O22" s="5"/>
      <c r="P22" s="181"/>
      <c r="Q22" s="87" t="s">
        <v>4</v>
      </c>
      <c r="R22" s="49">
        <v>2</v>
      </c>
    </row>
    <row r="23" spans="1:18" ht="179.25" customHeight="1" x14ac:dyDescent="0.25">
      <c r="A23" s="178"/>
      <c r="B23" s="35" t="s">
        <v>5</v>
      </c>
      <c r="C23" s="36">
        <v>3</v>
      </c>
      <c r="D23" s="5" t="s">
        <v>166</v>
      </c>
      <c r="E23" s="5"/>
      <c r="F23" s="5" t="s">
        <v>259</v>
      </c>
      <c r="G23" s="5" t="s">
        <v>186</v>
      </c>
      <c r="H23" s="5"/>
      <c r="I23" s="162"/>
      <c r="J23" s="162" t="s">
        <v>155</v>
      </c>
      <c r="K23" s="5" t="s">
        <v>367</v>
      </c>
      <c r="L23" s="5"/>
      <c r="M23" s="5"/>
      <c r="N23" s="5"/>
      <c r="O23" s="5"/>
      <c r="P23" s="181"/>
      <c r="Q23" s="87" t="s">
        <v>5</v>
      </c>
      <c r="R23" s="49">
        <v>3</v>
      </c>
    </row>
    <row r="24" spans="1:18" ht="186.75" customHeight="1" x14ac:dyDescent="0.25">
      <c r="A24" s="178"/>
      <c r="B24" s="35" t="s">
        <v>6</v>
      </c>
      <c r="C24" s="36">
        <v>4</v>
      </c>
      <c r="D24" s="5" t="s">
        <v>177</v>
      </c>
      <c r="E24" s="5"/>
      <c r="F24" s="5" t="s">
        <v>154</v>
      </c>
      <c r="G24" s="5" t="s">
        <v>260</v>
      </c>
      <c r="H24" s="5" t="s">
        <v>191</v>
      </c>
      <c r="I24" s="162" t="s">
        <v>166</v>
      </c>
      <c r="J24" s="162"/>
      <c r="K24" s="5" t="s">
        <v>367</v>
      </c>
      <c r="L24" s="5"/>
      <c r="M24" s="5"/>
      <c r="N24" s="5" t="s">
        <v>204</v>
      </c>
      <c r="O24" s="5"/>
      <c r="P24" s="181"/>
      <c r="Q24" s="87" t="s">
        <v>6</v>
      </c>
      <c r="R24" s="49">
        <v>4</v>
      </c>
    </row>
    <row r="25" spans="1:18" ht="186.75" customHeight="1" thickBot="1" x14ac:dyDescent="0.3">
      <c r="A25" s="179"/>
      <c r="B25" s="37" t="s">
        <v>7</v>
      </c>
      <c r="C25" s="38">
        <v>5</v>
      </c>
      <c r="D25" s="96" t="s">
        <v>258</v>
      </c>
      <c r="E25" s="96"/>
      <c r="F25" s="96" t="s">
        <v>153</v>
      </c>
      <c r="G25" s="146" t="s">
        <v>261</v>
      </c>
      <c r="H25" s="96" t="s">
        <v>189</v>
      </c>
      <c r="I25" s="163" t="s">
        <v>191</v>
      </c>
      <c r="J25" s="163"/>
      <c r="K25" s="96" t="s">
        <v>368</v>
      </c>
      <c r="L25" s="96"/>
      <c r="M25" s="96"/>
      <c r="N25" s="96"/>
      <c r="O25" s="96" t="s">
        <v>271</v>
      </c>
      <c r="P25" s="181"/>
      <c r="Q25" s="88" t="s">
        <v>7</v>
      </c>
      <c r="R25" s="50">
        <v>5</v>
      </c>
    </row>
    <row r="26" spans="1:18" ht="180.75" customHeight="1" x14ac:dyDescent="0.25">
      <c r="A26" s="210" t="str">
        <f>'4к 9 кл, 3к 11 кл'!A26:A30</f>
        <v>Пятница 04.09.2026</v>
      </c>
      <c r="B26" s="33" t="s">
        <v>3</v>
      </c>
      <c r="C26" s="34">
        <v>1</v>
      </c>
      <c r="D26" s="6"/>
      <c r="E26" s="5" t="s">
        <v>301</v>
      </c>
      <c r="F26" s="5" t="s">
        <v>178</v>
      </c>
      <c r="G26" s="6"/>
      <c r="H26" s="5"/>
      <c r="I26" s="162" t="s">
        <v>156</v>
      </c>
      <c r="J26" s="162"/>
      <c r="K26" s="5" t="s">
        <v>401</v>
      </c>
      <c r="L26" s="5"/>
      <c r="M26" s="5"/>
      <c r="N26" s="5"/>
      <c r="O26" s="5"/>
      <c r="P26" s="209" t="str">
        <f>'4к 9 кл, 3к 11 кл'!A26:A30</f>
        <v>Пятница 04.09.2026</v>
      </c>
      <c r="Q26" s="86" t="s">
        <v>3</v>
      </c>
      <c r="R26" s="48">
        <v>1</v>
      </c>
    </row>
    <row r="27" spans="1:18" ht="209.25" customHeight="1" x14ac:dyDescent="0.25">
      <c r="A27" s="212"/>
      <c r="B27" s="35" t="s">
        <v>4</v>
      </c>
      <c r="C27" s="36">
        <v>2</v>
      </c>
      <c r="D27" s="5" t="s">
        <v>176</v>
      </c>
      <c r="E27" s="5" t="s">
        <v>302</v>
      </c>
      <c r="F27" s="5" t="s">
        <v>305</v>
      </c>
      <c r="G27" s="126"/>
      <c r="H27" s="5"/>
      <c r="I27" s="162" t="s">
        <v>189</v>
      </c>
      <c r="J27" s="162" t="s">
        <v>156</v>
      </c>
      <c r="K27" s="5" t="s">
        <v>400</v>
      </c>
      <c r="L27" s="5"/>
      <c r="M27" s="5"/>
      <c r="N27" s="5"/>
      <c r="O27" s="5"/>
      <c r="P27" s="181"/>
      <c r="Q27" s="87" t="s">
        <v>4</v>
      </c>
      <c r="R27" s="49">
        <v>2</v>
      </c>
    </row>
    <row r="28" spans="1:18" ht="409.6" customHeight="1" x14ac:dyDescent="0.25">
      <c r="A28" s="212"/>
      <c r="B28" s="35" t="s">
        <v>5</v>
      </c>
      <c r="C28" s="36">
        <v>3</v>
      </c>
      <c r="D28" s="5" t="s">
        <v>176</v>
      </c>
      <c r="E28" s="5" t="s">
        <v>302</v>
      </c>
      <c r="F28" s="5" t="s">
        <v>306</v>
      </c>
      <c r="G28" s="6" t="s">
        <v>395</v>
      </c>
      <c r="H28" s="5"/>
      <c r="I28" s="162" t="s">
        <v>189</v>
      </c>
      <c r="J28" s="162" t="s">
        <v>156</v>
      </c>
      <c r="K28" s="5" t="s">
        <v>400</v>
      </c>
      <c r="L28" s="5"/>
      <c r="M28" s="5"/>
      <c r="N28" s="5"/>
      <c r="O28" s="5"/>
      <c r="P28" s="181"/>
      <c r="Q28" s="87" t="s">
        <v>5</v>
      </c>
      <c r="R28" s="49">
        <v>3</v>
      </c>
    </row>
    <row r="29" spans="1:18" ht="198.75" customHeight="1" x14ac:dyDescent="0.25">
      <c r="A29" s="212"/>
      <c r="B29" s="35" t="s">
        <v>6</v>
      </c>
      <c r="C29" s="36">
        <v>4</v>
      </c>
      <c r="D29" s="5" t="s">
        <v>296</v>
      </c>
      <c r="E29" s="5" t="s">
        <v>303</v>
      </c>
      <c r="F29" s="5" t="s">
        <v>306</v>
      </c>
      <c r="G29" s="126" t="s">
        <v>395</v>
      </c>
      <c r="H29" s="5" t="s">
        <v>155</v>
      </c>
      <c r="I29" s="162"/>
      <c r="J29" s="162"/>
      <c r="K29" s="5"/>
      <c r="L29" s="5" t="s">
        <v>400</v>
      </c>
      <c r="M29" s="5"/>
      <c r="N29" s="5"/>
      <c r="O29" s="5"/>
      <c r="P29" s="181"/>
      <c r="Q29" s="87" t="s">
        <v>6</v>
      </c>
      <c r="R29" s="49">
        <v>4</v>
      </c>
    </row>
    <row r="30" spans="1:18" ht="228.75" customHeight="1" thickBot="1" x14ac:dyDescent="0.3">
      <c r="A30" s="212"/>
      <c r="B30" s="35" t="s">
        <v>7</v>
      </c>
      <c r="C30" s="49">
        <v>5</v>
      </c>
      <c r="D30" s="96" t="s">
        <v>258</v>
      </c>
      <c r="E30" s="96" t="s">
        <v>304</v>
      </c>
      <c r="F30" s="96" t="s">
        <v>307</v>
      </c>
      <c r="G30" s="96" t="s">
        <v>396</v>
      </c>
      <c r="H30" s="96" t="s">
        <v>166</v>
      </c>
      <c r="I30" s="163"/>
      <c r="J30" s="163"/>
      <c r="K30" s="96"/>
      <c r="L30" s="96" t="s">
        <v>400</v>
      </c>
      <c r="M30" s="96"/>
      <c r="N30" s="96"/>
      <c r="O30" s="96"/>
      <c r="P30" s="181"/>
      <c r="Q30" s="37" t="s">
        <v>7</v>
      </c>
      <c r="R30" s="97">
        <v>5</v>
      </c>
    </row>
    <row r="31" spans="1:18" ht="184.5" customHeight="1" x14ac:dyDescent="0.25">
      <c r="A31" s="201" t="s">
        <v>48</v>
      </c>
      <c r="B31" s="86" t="s">
        <v>3</v>
      </c>
      <c r="C31" s="48">
        <v>1</v>
      </c>
      <c r="D31" s="6" t="s">
        <v>378</v>
      </c>
      <c r="E31" s="6" t="s">
        <v>334</v>
      </c>
      <c r="F31" s="6"/>
      <c r="G31" s="6"/>
      <c r="H31" s="6"/>
      <c r="I31" s="164"/>
      <c r="J31" s="164"/>
      <c r="K31" s="6"/>
      <c r="L31" s="6"/>
      <c r="M31" s="6"/>
      <c r="N31" s="6"/>
      <c r="O31" s="6"/>
      <c r="P31" s="209" t="str">
        <f>'4к 9 кл, 3к 11 кл'!A31:A35</f>
        <v>Суббота 05.09.2026</v>
      </c>
      <c r="Q31" s="86" t="s">
        <v>3</v>
      </c>
      <c r="R31" s="48">
        <v>1</v>
      </c>
    </row>
    <row r="32" spans="1:18" ht="184.5" customHeight="1" x14ac:dyDescent="0.25">
      <c r="A32" s="178"/>
      <c r="B32" s="35" t="s">
        <v>4</v>
      </c>
      <c r="C32" s="36">
        <v>2</v>
      </c>
      <c r="D32" s="5" t="s">
        <v>151</v>
      </c>
      <c r="E32" s="5" t="s">
        <v>335</v>
      </c>
      <c r="F32" s="5"/>
      <c r="G32" s="5"/>
      <c r="H32" s="5"/>
      <c r="I32" s="162"/>
      <c r="J32" s="162"/>
      <c r="K32" s="5"/>
      <c r="L32" s="5"/>
      <c r="M32" s="5"/>
      <c r="N32" s="5"/>
      <c r="O32" s="5"/>
      <c r="P32" s="181"/>
      <c r="Q32" s="35" t="s">
        <v>4</v>
      </c>
      <c r="R32" s="49">
        <v>2</v>
      </c>
    </row>
    <row r="33" spans="1:18" ht="195" customHeight="1" x14ac:dyDescent="0.25">
      <c r="A33" s="178"/>
      <c r="B33" s="35" t="s">
        <v>5</v>
      </c>
      <c r="C33" s="49">
        <v>3</v>
      </c>
      <c r="D33" s="5"/>
      <c r="E33" s="5" t="s">
        <v>335</v>
      </c>
      <c r="F33" s="5"/>
      <c r="G33" s="5"/>
      <c r="H33" s="5"/>
      <c r="I33" s="162"/>
      <c r="J33" s="162"/>
      <c r="K33" s="5"/>
      <c r="L33" s="5"/>
      <c r="M33" s="5"/>
      <c r="N33" s="5"/>
      <c r="O33" s="5"/>
      <c r="P33" s="181"/>
      <c r="Q33" s="35" t="s">
        <v>5</v>
      </c>
      <c r="R33" s="49">
        <v>3</v>
      </c>
    </row>
    <row r="34" spans="1:18" ht="182.25" customHeight="1" x14ac:dyDescent="0.25">
      <c r="A34" s="178"/>
      <c r="B34" s="35" t="s">
        <v>6</v>
      </c>
      <c r="C34" s="49">
        <v>4</v>
      </c>
      <c r="D34" s="5"/>
      <c r="E34" s="5"/>
      <c r="F34" s="5"/>
      <c r="G34" s="148"/>
      <c r="H34" s="5" t="s">
        <v>336</v>
      </c>
      <c r="I34" s="162"/>
      <c r="J34" s="162"/>
      <c r="K34" s="5"/>
      <c r="L34" s="5"/>
      <c r="M34" s="5"/>
      <c r="N34" s="5" t="s">
        <v>346</v>
      </c>
      <c r="O34" s="5"/>
      <c r="P34" s="181"/>
      <c r="Q34" s="35" t="s">
        <v>6</v>
      </c>
      <c r="R34" s="49">
        <v>4</v>
      </c>
    </row>
    <row r="35" spans="1:18" ht="163.5" customHeight="1" thickBot="1" x14ac:dyDescent="0.3">
      <c r="A35" s="179"/>
      <c r="B35" s="35" t="s">
        <v>7</v>
      </c>
      <c r="C35" s="97">
        <v>5</v>
      </c>
      <c r="D35" s="96"/>
      <c r="E35" s="96"/>
      <c r="F35" s="96"/>
      <c r="G35" s="96"/>
      <c r="H35" s="96" t="s">
        <v>379</v>
      </c>
      <c r="I35" s="163"/>
      <c r="J35" s="163"/>
      <c r="K35" s="96"/>
      <c r="L35" s="96"/>
      <c r="M35" s="96"/>
      <c r="N35" s="96"/>
      <c r="O35" s="96"/>
      <c r="P35" s="181"/>
      <c r="Q35" s="37" t="s">
        <v>7</v>
      </c>
      <c r="R35" s="97">
        <v>5</v>
      </c>
    </row>
    <row r="36" spans="1:18" ht="357" customHeight="1" x14ac:dyDescent="0.3">
      <c r="A36" s="98"/>
      <c r="C36" s="99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R36" s="100"/>
    </row>
    <row r="37" spans="1:18" ht="357" customHeight="1" x14ac:dyDescent="0.3"/>
  </sheetData>
  <mergeCells count="19">
    <mergeCell ref="A31:A35"/>
    <mergeCell ref="Q1:Q5"/>
    <mergeCell ref="P6:P10"/>
    <mergeCell ref="A11:A15"/>
    <mergeCell ref="A1:A5"/>
    <mergeCell ref="C1:C5"/>
    <mergeCell ref="A6:A10"/>
    <mergeCell ref="P1:P5"/>
    <mergeCell ref="A16:A20"/>
    <mergeCell ref="P31:P35"/>
    <mergeCell ref="A21:A25"/>
    <mergeCell ref="P16:P20"/>
    <mergeCell ref="P21:P25"/>
    <mergeCell ref="A26:A30"/>
    <mergeCell ref="R1:R5"/>
    <mergeCell ref="B1:B5"/>
    <mergeCell ref="P26:P30"/>
    <mergeCell ref="P11:P15"/>
    <mergeCell ref="D5:K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36"/>
  <sheetViews>
    <sheetView topLeftCell="A25" zoomScale="42" zoomScaleNormal="42" workbookViewId="0">
      <selection activeCell="G27" sqref="G27"/>
    </sheetView>
  </sheetViews>
  <sheetFormatPr defaultRowHeight="18.75" x14ac:dyDescent="0.3"/>
  <cols>
    <col min="1" max="1" width="9.140625" style="7" customWidth="1"/>
    <col min="2" max="2" width="12.42578125" style="8" customWidth="1"/>
    <col min="3" max="3" width="8.140625" style="8" customWidth="1"/>
    <col min="4" max="4" width="55.140625" style="47" customWidth="1"/>
    <col min="5" max="5" width="55.28515625" style="47" customWidth="1"/>
    <col min="6" max="6" width="54.5703125" style="47" customWidth="1"/>
    <col min="7" max="7" width="53.42578125" style="47" customWidth="1"/>
    <col min="8" max="8" width="50.7109375" style="47" customWidth="1"/>
    <col min="9" max="9" width="57.28515625" style="47" customWidth="1"/>
    <col min="10" max="10" width="52.5703125" style="47" customWidth="1"/>
    <col min="11" max="11" width="50.28515625" style="47" customWidth="1"/>
    <col min="12" max="12" width="9.140625" style="93" customWidth="1"/>
    <col min="13" max="13" width="12.42578125" style="8" customWidth="1"/>
    <col min="14" max="14" width="8.140625" style="8" customWidth="1"/>
  </cols>
  <sheetData>
    <row r="1" spans="1:14" ht="54" customHeight="1" thickBot="1" x14ac:dyDescent="0.3">
      <c r="A1" s="204" t="s">
        <v>0</v>
      </c>
      <c r="B1" s="203" t="s">
        <v>1</v>
      </c>
      <c r="C1" s="202" t="s">
        <v>2</v>
      </c>
      <c r="D1" s="77" t="s">
        <v>101</v>
      </c>
      <c r="E1" s="77" t="s">
        <v>102</v>
      </c>
      <c r="F1" s="77" t="s">
        <v>103</v>
      </c>
      <c r="G1" s="77" t="s">
        <v>104</v>
      </c>
      <c r="H1" s="77" t="s">
        <v>105</v>
      </c>
      <c r="I1" s="77" t="s">
        <v>106</v>
      </c>
      <c r="J1" s="77" t="s">
        <v>107</v>
      </c>
      <c r="K1" s="77" t="s">
        <v>108</v>
      </c>
      <c r="L1" s="211" t="s">
        <v>0</v>
      </c>
      <c r="M1" s="211" t="s">
        <v>1</v>
      </c>
      <c r="N1" s="211" t="s">
        <v>2</v>
      </c>
    </row>
    <row r="2" spans="1:14" ht="168" customHeight="1" x14ac:dyDescent="0.25">
      <c r="A2" s="192"/>
      <c r="B2" s="172"/>
      <c r="C2" s="175"/>
      <c r="D2" s="44" t="s">
        <v>133</v>
      </c>
      <c r="E2" s="44" t="s">
        <v>127</v>
      </c>
      <c r="F2" s="44" t="s">
        <v>129</v>
      </c>
      <c r="G2" s="44" t="s">
        <v>134</v>
      </c>
      <c r="H2" s="44" t="s">
        <v>135</v>
      </c>
      <c r="I2" s="44" t="s">
        <v>130</v>
      </c>
      <c r="J2" s="44" t="s">
        <v>136</v>
      </c>
      <c r="K2" s="44" t="s">
        <v>116</v>
      </c>
      <c r="L2" s="181"/>
      <c r="M2" s="181"/>
      <c r="N2" s="181"/>
    </row>
    <row r="3" spans="1:14" ht="29.25" thickBot="1" x14ac:dyDescent="0.3">
      <c r="A3" s="192"/>
      <c r="B3" s="172"/>
      <c r="C3" s="175"/>
      <c r="D3" s="78"/>
      <c r="E3" s="78"/>
      <c r="F3" s="78"/>
      <c r="G3" s="78"/>
      <c r="H3" s="78"/>
      <c r="I3" s="78"/>
      <c r="J3" s="78"/>
      <c r="K3" s="78"/>
      <c r="L3" s="181"/>
      <c r="M3" s="181"/>
      <c r="N3" s="181"/>
    </row>
    <row r="4" spans="1:14" ht="23.25" x14ac:dyDescent="0.25">
      <c r="A4" s="192"/>
      <c r="B4" s="172"/>
      <c r="C4" s="175"/>
      <c r="D4" s="32">
        <v>25</v>
      </c>
      <c r="E4" s="32">
        <v>25</v>
      </c>
      <c r="F4" s="32">
        <v>25</v>
      </c>
      <c r="G4" s="32">
        <v>25</v>
      </c>
      <c r="H4" s="32">
        <v>25</v>
      </c>
      <c r="I4" s="32">
        <v>25</v>
      </c>
      <c r="J4" s="32">
        <v>25</v>
      </c>
      <c r="K4" s="32">
        <v>25</v>
      </c>
      <c r="L4" s="181"/>
      <c r="M4" s="181"/>
      <c r="N4" s="181"/>
    </row>
    <row r="5" spans="1:14" ht="64.5" customHeight="1" thickBot="1" x14ac:dyDescent="0.3">
      <c r="A5" s="205"/>
      <c r="B5" s="173"/>
      <c r="C5" s="176"/>
      <c r="D5" s="206" t="str">
        <f>'4к 9 кл, 3к 11 кл'!D5:G5</f>
        <v>1 неделя</v>
      </c>
      <c r="E5" s="207"/>
      <c r="F5" s="207"/>
      <c r="G5" s="207"/>
      <c r="H5" s="207"/>
      <c r="I5" s="207"/>
      <c r="J5" s="207"/>
      <c r="K5" s="207"/>
      <c r="L5" s="181"/>
      <c r="M5" s="181"/>
      <c r="N5" s="181"/>
    </row>
    <row r="6" spans="1:14" ht="133.5" customHeight="1" x14ac:dyDescent="0.25">
      <c r="A6" s="201" t="str">
        <f>'4к 9 кл, 3к 11 кл'!A6:A10</f>
        <v>Понедельник  31.08.2026</v>
      </c>
      <c r="B6" s="33" t="s">
        <v>3</v>
      </c>
      <c r="C6" s="34">
        <v>1</v>
      </c>
      <c r="D6" s="5"/>
      <c r="E6" s="5"/>
      <c r="F6" s="5"/>
      <c r="G6" s="5"/>
      <c r="H6" s="5"/>
      <c r="I6" s="5"/>
      <c r="J6" s="5"/>
      <c r="K6" s="5"/>
      <c r="L6" s="209" t="str">
        <f>'4к 9 кл, 3к 11 кл'!A6:A10</f>
        <v>Понедельник  31.08.2026</v>
      </c>
      <c r="M6" s="35" t="s">
        <v>3</v>
      </c>
      <c r="N6" s="49">
        <v>1</v>
      </c>
    </row>
    <row r="7" spans="1:14" ht="136.5" customHeight="1" x14ac:dyDescent="0.25">
      <c r="A7" s="178"/>
      <c r="B7" s="35" t="s">
        <v>4</v>
      </c>
      <c r="C7" s="36">
        <v>2</v>
      </c>
      <c r="D7" s="5"/>
      <c r="E7" s="5"/>
      <c r="F7" s="5"/>
      <c r="G7" s="5"/>
      <c r="H7" s="5"/>
      <c r="I7" s="5"/>
      <c r="J7" s="5"/>
      <c r="K7" s="5"/>
      <c r="L7" s="181"/>
      <c r="M7" s="35" t="s">
        <v>4</v>
      </c>
      <c r="N7" s="49">
        <v>2</v>
      </c>
    </row>
    <row r="8" spans="1:14" ht="156.75" customHeight="1" x14ac:dyDescent="0.25">
      <c r="A8" s="178"/>
      <c r="B8" s="35" t="s">
        <v>5</v>
      </c>
      <c r="C8" s="36">
        <v>3</v>
      </c>
      <c r="D8" s="5"/>
      <c r="E8" s="5"/>
      <c r="F8" s="5"/>
      <c r="G8" s="5"/>
      <c r="H8" s="5"/>
      <c r="I8" s="5"/>
      <c r="J8" s="5"/>
      <c r="K8" s="5"/>
      <c r="L8" s="181"/>
      <c r="M8" s="35" t="s">
        <v>5</v>
      </c>
      <c r="N8" s="49">
        <v>3</v>
      </c>
    </row>
    <row r="9" spans="1:14" ht="135" customHeight="1" x14ac:dyDescent="0.25">
      <c r="A9" s="178"/>
      <c r="B9" s="35" t="s">
        <v>6</v>
      </c>
      <c r="C9" s="36">
        <v>4</v>
      </c>
      <c r="D9" s="5"/>
      <c r="E9" s="5"/>
      <c r="F9" s="5"/>
      <c r="G9" s="5"/>
      <c r="H9" s="5"/>
      <c r="I9" s="5"/>
      <c r="J9" s="5"/>
      <c r="K9" s="5"/>
      <c r="L9" s="181"/>
      <c r="M9" s="35" t="s">
        <v>6</v>
      </c>
      <c r="N9" s="49">
        <v>4</v>
      </c>
    </row>
    <row r="10" spans="1:14" ht="159.75" customHeight="1" thickBot="1" x14ac:dyDescent="0.3">
      <c r="A10" s="179"/>
      <c r="B10" s="37" t="s">
        <v>7</v>
      </c>
      <c r="C10" s="38">
        <v>5</v>
      </c>
      <c r="D10" s="142"/>
      <c r="E10" s="142"/>
      <c r="F10" s="142"/>
      <c r="G10" s="142"/>
      <c r="H10" s="142"/>
      <c r="I10" s="142"/>
      <c r="J10" s="142"/>
      <c r="K10" s="96"/>
      <c r="L10" s="181"/>
      <c r="M10" s="35" t="s">
        <v>7</v>
      </c>
      <c r="N10" s="49">
        <v>5</v>
      </c>
    </row>
    <row r="11" spans="1:14" ht="165.75" customHeight="1" x14ac:dyDescent="0.25">
      <c r="A11" s="201" t="s">
        <v>373</v>
      </c>
      <c r="B11" s="33" t="s">
        <v>3</v>
      </c>
      <c r="C11" s="34">
        <v>1</v>
      </c>
      <c r="D11" s="6"/>
      <c r="E11" s="6"/>
      <c r="F11" s="6"/>
      <c r="G11" s="6"/>
      <c r="H11" s="6"/>
      <c r="I11" s="6"/>
      <c r="J11" s="6"/>
      <c r="K11" s="6"/>
      <c r="L11" s="209" t="str">
        <f>'4к 9 кл, 3к 11 кл'!A11:A15</f>
        <v>Вторник 01.09.2026</v>
      </c>
      <c r="M11" s="35" t="s">
        <v>3</v>
      </c>
      <c r="N11" s="49">
        <v>1</v>
      </c>
    </row>
    <row r="12" spans="1:14" ht="155.25" customHeight="1" x14ac:dyDescent="0.25">
      <c r="A12" s="178"/>
      <c r="B12" s="35" t="s">
        <v>4</v>
      </c>
      <c r="C12" s="36">
        <v>2</v>
      </c>
      <c r="D12" s="5"/>
      <c r="E12" s="5"/>
      <c r="F12" s="5"/>
      <c r="G12" s="5"/>
      <c r="H12" s="5"/>
      <c r="I12" s="5"/>
      <c r="J12" s="5"/>
      <c r="K12" s="5"/>
      <c r="L12" s="181"/>
      <c r="M12" s="35" t="s">
        <v>4</v>
      </c>
      <c r="N12" s="49">
        <v>2</v>
      </c>
    </row>
    <row r="13" spans="1:14" ht="168.75" customHeight="1" x14ac:dyDescent="0.25">
      <c r="A13" s="178"/>
      <c r="B13" s="35" t="s">
        <v>5</v>
      </c>
      <c r="C13" s="36">
        <v>3</v>
      </c>
      <c r="D13" s="5"/>
      <c r="E13" s="5"/>
      <c r="F13" s="5"/>
      <c r="G13" s="5"/>
      <c r="H13" s="5"/>
      <c r="I13" s="5"/>
      <c r="J13" s="5"/>
      <c r="K13" s="5"/>
      <c r="L13" s="181"/>
      <c r="M13" s="35" t="s">
        <v>5</v>
      </c>
      <c r="N13" s="49">
        <v>3</v>
      </c>
    </row>
    <row r="14" spans="1:14" ht="153.75" customHeight="1" x14ac:dyDescent="0.25">
      <c r="A14" s="178"/>
      <c r="B14" s="35" t="s">
        <v>6</v>
      </c>
      <c r="C14" s="36">
        <v>4</v>
      </c>
      <c r="D14" s="5"/>
      <c r="E14" s="5"/>
      <c r="F14" s="5"/>
      <c r="G14" s="5"/>
      <c r="H14" s="5"/>
      <c r="I14" s="5"/>
      <c r="J14" s="5"/>
      <c r="K14" s="5"/>
      <c r="L14" s="181"/>
      <c r="M14" s="35" t="s">
        <v>6</v>
      </c>
      <c r="N14" s="49">
        <v>4</v>
      </c>
    </row>
    <row r="15" spans="1:14" ht="156" customHeight="1" thickBot="1" x14ac:dyDescent="0.3">
      <c r="A15" s="179"/>
      <c r="B15" s="37" t="s">
        <v>7</v>
      </c>
      <c r="C15" s="38">
        <v>5</v>
      </c>
      <c r="D15" s="96"/>
      <c r="E15" s="96"/>
      <c r="F15" s="96"/>
      <c r="G15" s="96"/>
      <c r="H15" s="96"/>
      <c r="I15" s="96"/>
      <c r="J15" s="96"/>
      <c r="K15" s="96"/>
      <c r="L15" s="181"/>
      <c r="M15" s="35" t="s">
        <v>7</v>
      </c>
      <c r="N15" s="49">
        <v>5</v>
      </c>
    </row>
    <row r="16" spans="1:14" ht="175.5" customHeight="1" x14ac:dyDescent="0.25">
      <c r="A16" s="201" t="s">
        <v>100</v>
      </c>
      <c r="B16" s="33" t="s">
        <v>3</v>
      </c>
      <c r="C16" s="34">
        <v>1</v>
      </c>
      <c r="D16" s="6"/>
      <c r="E16" s="6"/>
      <c r="F16" s="6"/>
      <c r="G16" s="6" t="s">
        <v>219</v>
      </c>
      <c r="H16" s="6" t="s">
        <v>220</v>
      </c>
      <c r="I16" s="6"/>
      <c r="J16" s="6"/>
      <c r="K16" s="6" t="s">
        <v>222</v>
      </c>
      <c r="L16" s="209" t="str">
        <f>'4к 9 кл, 3к 11 кл'!A16:A20</f>
        <v>Среда 02.09.2026</v>
      </c>
      <c r="M16" s="35" t="s">
        <v>3</v>
      </c>
      <c r="N16" s="49">
        <v>1</v>
      </c>
    </row>
    <row r="17" spans="1:14" ht="168.75" customHeight="1" x14ac:dyDescent="0.25">
      <c r="A17" s="178"/>
      <c r="B17" s="35" t="s">
        <v>4</v>
      </c>
      <c r="C17" s="36">
        <v>2</v>
      </c>
      <c r="D17" s="5"/>
      <c r="E17" s="5" t="s">
        <v>151</v>
      </c>
      <c r="F17" s="5"/>
      <c r="G17" s="5" t="s">
        <v>219</v>
      </c>
      <c r="H17" s="5" t="s">
        <v>221</v>
      </c>
      <c r="I17" s="5"/>
      <c r="J17" s="5"/>
      <c r="K17" s="5" t="s">
        <v>223</v>
      </c>
      <c r="L17" s="181"/>
      <c r="M17" s="35" t="s">
        <v>4</v>
      </c>
      <c r="N17" s="49">
        <v>2</v>
      </c>
    </row>
    <row r="18" spans="1:14" ht="321" customHeight="1" x14ac:dyDescent="0.25">
      <c r="A18" s="178"/>
      <c r="B18" s="35" t="s">
        <v>5</v>
      </c>
      <c r="C18" s="36">
        <v>3</v>
      </c>
      <c r="D18" s="5"/>
      <c r="E18" s="5" t="s">
        <v>151</v>
      </c>
      <c r="F18" s="5" t="s">
        <v>206</v>
      </c>
      <c r="G18" s="5"/>
      <c r="H18" s="5"/>
      <c r="I18" s="5" t="s">
        <v>391</v>
      </c>
      <c r="J18" s="5"/>
      <c r="K18" s="5" t="s">
        <v>224</v>
      </c>
      <c r="L18" s="181"/>
      <c r="M18" s="35" t="s">
        <v>5</v>
      </c>
      <c r="N18" s="49">
        <v>3</v>
      </c>
    </row>
    <row r="19" spans="1:14" ht="144.75" customHeight="1" x14ac:dyDescent="0.25">
      <c r="A19" s="178"/>
      <c r="B19" s="35" t="s">
        <v>6</v>
      </c>
      <c r="C19" s="36">
        <v>4</v>
      </c>
      <c r="D19" s="5"/>
      <c r="E19" s="5" t="s">
        <v>218</v>
      </c>
      <c r="F19" s="136"/>
      <c r="G19" s="5"/>
      <c r="H19" s="5"/>
      <c r="I19" s="5"/>
      <c r="J19" s="5"/>
      <c r="K19" s="5"/>
      <c r="L19" s="181"/>
      <c r="M19" s="35" t="s">
        <v>6</v>
      </c>
      <c r="N19" s="49">
        <v>4</v>
      </c>
    </row>
    <row r="20" spans="1:14" ht="145.5" customHeight="1" thickBot="1" x14ac:dyDescent="0.3">
      <c r="A20" s="179"/>
      <c r="B20" s="37" t="s">
        <v>7</v>
      </c>
      <c r="C20" s="38">
        <v>5</v>
      </c>
      <c r="D20" s="96"/>
      <c r="E20" s="96" t="s">
        <v>205</v>
      </c>
      <c r="F20" s="96"/>
      <c r="G20" s="96"/>
      <c r="H20" s="96"/>
      <c r="I20" s="96"/>
      <c r="J20" s="96"/>
      <c r="K20" s="146"/>
      <c r="L20" s="181"/>
      <c r="M20" s="35" t="s">
        <v>7</v>
      </c>
      <c r="N20" s="49">
        <v>5</v>
      </c>
    </row>
    <row r="21" spans="1:14" ht="192.75" customHeight="1" x14ac:dyDescent="0.25">
      <c r="A21" s="201" t="s">
        <v>45</v>
      </c>
      <c r="B21" s="33" t="s">
        <v>3</v>
      </c>
      <c r="C21" s="34">
        <v>1</v>
      </c>
      <c r="D21" s="149"/>
      <c r="E21" s="149"/>
      <c r="F21" s="149" t="s">
        <v>189</v>
      </c>
      <c r="G21" s="149"/>
      <c r="H21" s="149" t="s">
        <v>191</v>
      </c>
      <c r="I21" s="149"/>
      <c r="J21" s="149"/>
      <c r="K21" s="6" t="s">
        <v>280</v>
      </c>
      <c r="L21" s="209" t="str">
        <f>'4к 9 кл, 3к 11 кл'!A21:A25</f>
        <v>Четверг 03.09.2026</v>
      </c>
      <c r="M21" s="35" t="s">
        <v>3</v>
      </c>
      <c r="N21" s="49">
        <v>1</v>
      </c>
    </row>
    <row r="22" spans="1:14" ht="201" customHeight="1" x14ac:dyDescent="0.25">
      <c r="A22" s="178"/>
      <c r="B22" s="35" t="s">
        <v>4</v>
      </c>
      <c r="C22" s="36">
        <v>2</v>
      </c>
      <c r="D22" s="5" t="s">
        <v>199</v>
      </c>
      <c r="E22" s="5"/>
      <c r="F22" s="5" t="s">
        <v>189</v>
      </c>
      <c r="G22" s="5"/>
      <c r="H22" s="5" t="s">
        <v>221</v>
      </c>
      <c r="I22" s="5"/>
      <c r="J22" s="5"/>
      <c r="K22" s="5" t="s">
        <v>281</v>
      </c>
      <c r="L22" s="181"/>
      <c r="M22" s="35" t="s">
        <v>4</v>
      </c>
      <c r="N22" s="49">
        <v>2</v>
      </c>
    </row>
    <row r="23" spans="1:14" ht="269.25" customHeight="1" x14ac:dyDescent="0.25">
      <c r="A23" s="178"/>
      <c r="B23" s="35" t="s">
        <v>5</v>
      </c>
      <c r="C23" s="36">
        <v>3</v>
      </c>
      <c r="D23" s="5" t="s">
        <v>200</v>
      </c>
      <c r="E23" s="5" t="s">
        <v>151</v>
      </c>
      <c r="F23" s="5" t="s">
        <v>392</v>
      </c>
      <c r="G23" s="136"/>
      <c r="H23" s="5" t="s">
        <v>279</v>
      </c>
      <c r="I23" s="5"/>
      <c r="J23" s="5"/>
      <c r="K23" s="5" t="s">
        <v>281</v>
      </c>
      <c r="L23" s="181"/>
      <c r="M23" s="35" t="s">
        <v>5</v>
      </c>
      <c r="N23" s="49">
        <v>3</v>
      </c>
    </row>
    <row r="24" spans="1:14" ht="155.25" customHeight="1" x14ac:dyDescent="0.25">
      <c r="A24" s="178"/>
      <c r="B24" s="35" t="s">
        <v>6</v>
      </c>
      <c r="C24" s="36">
        <v>4</v>
      </c>
      <c r="D24" s="136"/>
      <c r="E24" s="136" t="s">
        <v>278</v>
      </c>
      <c r="F24" s="136"/>
      <c r="G24" s="136"/>
      <c r="H24" s="136"/>
      <c r="I24" s="136"/>
      <c r="J24" s="136"/>
      <c r="K24" s="5"/>
      <c r="L24" s="181"/>
      <c r="M24" s="35" t="s">
        <v>6</v>
      </c>
      <c r="N24" s="49">
        <v>4</v>
      </c>
    </row>
    <row r="25" spans="1:14" ht="150" customHeight="1" thickBot="1" x14ac:dyDescent="0.3">
      <c r="A25" s="179"/>
      <c r="B25" s="37" t="s">
        <v>7</v>
      </c>
      <c r="C25" s="38">
        <v>5</v>
      </c>
      <c r="D25" s="147"/>
      <c r="E25" s="147"/>
      <c r="F25" s="147"/>
      <c r="G25" s="147"/>
      <c r="H25" s="147"/>
      <c r="I25" s="147"/>
      <c r="J25" s="147"/>
      <c r="K25" s="146"/>
      <c r="L25" s="181"/>
      <c r="M25" s="35" t="s">
        <v>7</v>
      </c>
      <c r="N25" s="49">
        <v>5</v>
      </c>
    </row>
    <row r="26" spans="1:14" ht="147" customHeight="1" x14ac:dyDescent="0.25">
      <c r="A26" s="201" t="s">
        <v>47</v>
      </c>
      <c r="B26" s="33" t="s">
        <v>3</v>
      </c>
      <c r="C26" s="34">
        <v>1</v>
      </c>
      <c r="D26" s="6"/>
      <c r="E26" s="6"/>
      <c r="F26" s="6" t="s">
        <v>191</v>
      </c>
      <c r="G26" s="6" t="s">
        <v>220</v>
      </c>
      <c r="H26" s="6"/>
      <c r="I26" s="6"/>
      <c r="J26" s="6"/>
      <c r="K26" s="6" t="s">
        <v>303</v>
      </c>
      <c r="L26" s="209" t="str">
        <f>'4к 9 кл, 3к 11 кл'!A26:A30</f>
        <v>Пятница 04.09.2026</v>
      </c>
      <c r="M26" s="35" t="s">
        <v>3</v>
      </c>
      <c r="N26" s="49">
        <v>1</v>
      </c>
    </row>
    <row r="27" spans="1:14" ht="186.75" customHeight="1" x14ac:dyDescent="0.25">
      <c r="A27" s="178"/>
      <c r="B27" s="35" t="s">
        <v>4</v>
      </c>
      <c r="C27" s="36">
        <v>2</v>
      </c>
      <c r="D27" s="5"/>
      <c r="E27" s="5"/>
      <c r="F27" s="5" t="s">
        <v>191</v>
      </c>
      <c r="G27" s="136" t="s">
        <v>220</v>
      </c>
      <c r="H27" s="5"/>
      <c r="I27" s="5" t="s">
        <v>317</v>
      </c>
      <c r="J27" s="5"/>
      <c r="K27" s="6" t="s">
        <v>318</v>
      </c>
      <c r="L27" s="181"/>
      <c r="M27" s="35" t="s">
        <v>4</v>
      </c>
      <c r="N27" s="49">
        <v>2</v>
      </c>
    </row>
    <row r="28" spans="1:14" ht="409.5" customHeight="1" x14ac:dyDescent="0.25">
      <c r="A28" s="178"/>
      <c r="B28" s="35" t="s">
        <v>5</v>
      </c>
      <c r="C28" s="36">
        <v>3</v>
      </c>
      <c r="D28" s="5"/>
      <c r="E28" s="5" t="s">
        <v>402</v>
      </c>
      <c r="F28" s="5"/>
      <c r="G28" s="5" t="s">
        <v>402</v>
      </c>
      <c r="H28" s="5"/>
      <c r="I28" s="5" t="s">
        <v>317</v>
      </c>
      <c r="J28" s="6"/>
      <c r="K28" s="5" t="s">
        <v>319</v>
      </c>
      <c r="L28" s="181"/>
      <c r="M28" s="35" t="s">
        <v>5</v>
      </c>
      <c r="N28" s="49">
        <v>3</v>
      </c>
    </row>
    <row r="29" spans="1:14" ht="171" customHeight="1" x14ac:dyDescent="0.25">
      <c r="A29" s="178"/>
      <c r="B29" s="35" t="s">
        <v>6</v>
      </c>
      <c r="C29" s="36">
        <v>4</v>
      </c>
      <c r="D29" s="136"/>
      <c r="E29" s="136"/>
      <c r="F29" s="136"/>
      <c r="G29" s="136"/>
      <c r="H29" s="5"/>
      <c r="I29" s="5"/>
      <c r="J29" s="5"/>
      <c r="K29" s="5" t="s">
        <v>268</v>
      </c>
      <c r="L29" s="181"/>
      <c r="M29" s="35" t="s">
        <v>6</v>
      </c>
      <c r="N29" s="49">
        <v>4</v>
      </c>
    </row>
    <row r="30" spans="1:14" ht="243.75" customHeight="1" thickBot="1" x14ac:dyDescent="0.3">
      <c r="A30" s="179"/>
      <c r="B30" s="35" t="s">
        <v>7</v>
      </c>
      <c r="C30" s="36">
        <v>5</v>
      </c>
      <c r="D30" s="147"/>
      <c r="E30" s="147"/>
      <c r="F30" s="147"/>
      <c r="G30" s="147"/>
      <c r="H30" s="147"/>
      <c r="I30" s="96"/>
      <c r="J30" s="96"/>
      <c r="K30" s="96" t="s">
        <v>320</v>
      </c>
      <c r="L30" s="181"/>
      <c r="M30" s="35" t="s">
        <v>7</v>
      </c>
      <c r="N30" s="49">
        <v>5</v>
      </c>
    </row>
    <row r="31" spans="1:14" ht="198.75" customHeight="1" x14ac:dyDescent="0.25">
      <c r="A31" s="201" t="str">
        <f>'4к 9 кл, 3к 11 кл'!A31:A35</f>
        <v>Суббота 05.09.2026</v>
      </c>
      <c r="B31" s="33" t="s">
        <v>3</v>
      </c>
      <c r="C31" s="34">
        <v>1</v>
      </c>
      <c r="D31" s="6"/>
      <c r="E31" s="6"/>
      <c r="F31" s="6" t="s">
        <v>383</v>
      </c>
      <c r="G31" s="6"/>
      <c r="H31" s="6"/>
      <c r="I31" s="6"/>
      <c r="J31" s="6" t="s">
        <v>352</v>
      </c>
      <c r="K31" s="6"/>
      <c r="L31" s="209" t="str">
        <f>'4к 9 кл, 3к 11 кл'!A31:A35</f>
        <v>Суббота 05.09.2026</v>
      </c>
      <c r="M31" s="35" t="s">
        <v>3</v>
      </c>
      <c r="N31" s="49">
        <v>1</v>
      </c>
    </row>
    <row r="32" spans="1:14" ht="206.25" customHeight="1" x14ac:dyDescent="0.25">
      <c r="A32" s="178"/>
      <c r="B32" s="35" t="s">
        <v>4</v>
      </c>
      <c r="C32" s="36">
        <v>2</v>
      </c>
      <c r="D32" s="5"/>
      <c r="E32" s="5"/>
      <c r="F32" s="5" t="s">
        <v>382</v>
      </c>
      <c r="G32" s="5"/>
      <c r="H32" s="5"/>
      <c r="I32" s="5"/>
      <c r="J32" s="5" t="s">
        <v>352</v>
      </c>
      <c r="K32" s="5"/>
      <c r="L32" s="181"/>
      <c r="M32" s="35" t="s">
        <v>4</v>
      </c>
      <c r="N32" s="49">
        <v>2</v>
      </c>
    </row>
    <row r="33" spans="1:14" ht="207" customHeight="1" x14ac:dyDescent="0.25">
      <c r="A33" s="178"/>
      <c r="B33" s="35" t="s">
        <v>5</v>
      </c>
      <c r="C33" s="36">
        <v>3</v>
      </c>
      <c r="D33" s="5"/>
      <c r="E33" s="136" t="s">
        <v>350</v>
      </c>
      <c r="F33" s="5"/>
      <c r="G33" s="5"/>
      <c r="H33" s="5"/>
      <c r="I33" s="5"/>
      <c r="J33" s="5" t="s">
        <v>352</v>
      </c>
      <c r="K33" s="5"/>
      <c r="L33" s="181"/>
      <c r="M33" s="35" t="s">
        <v>5</v>
      </c>
      <c r="N33" s="49">
        <v>3</v>
      </c>
    </row>
    <row r="34" spans="1:14" ht="199.5" customHeight="1" x14ac:dyDescent="0.25">
      <c r="A34" s="178"/>
      <c r="B34" s="35" t="s">
        <v>6</v>
      </c>
      <c r="C34" s="36">
        <v>4</v>
      </c>
      <c r="D34" s="5"/>
      <c r="E34" s="5" t="s">
        <v>351</v>
      </c>
      <c r="F34" s="5"/>
      <c r="G34" s="5"/>
      <c r="H34" s="5"/>
      <c r="I34" s="5"/>
      <c r="J34" s="5" t="s">
        <v>352</v>
      </c>
      <c r="K34" s="5"/>
      <c r="L34" s="181"/>
      <c r="M34" s="35" t="s">
        <v>6</v>
      </c>
      <c r="N34" s="49">
        <v>4</v>
      </c>
    </row>
    <row r="35" spans="1:14" ht="252.75" customHeight="1" thickBot="1" x14ac:dyDescent="0.3">
      <c r="A35" s="179"/>
      <c r="B35" s="37" t="s">
        <v>7</v>
      </c>
      <c r="C35" s="42">
        <v>5</v>
      </c>
      <c r="D35" s="96"/>
      <c r="E35" s="96"/>
      <c r="F35" s="96"/>
      <c r="G35" s="96"/>
      <c r="H35" s="96"/>
      <c r="I35" s="96"/>
      <c r="J35" s="96" t="s">
        <v>352</v>
      </c>
      <c r="K35" s="96"/>
      <c r="L35" s="181"/>
      <c r="M35" s="35" t="s">
        <v>7</v>
      </c>
      <c r="N35" s="49">
        <v>5</v>
      </c>
    </row>
    <row r="36" spans="1:14" x14ac:dyDescent="0.3">
      <c r="C36" s="43"/>
      <c r="G36" s="76"/>
    </row>
  </sheetData>
  <mergeCells count="19">
    <mergeCell ref="N1:N5"/>
    <mergeCell ref="D5:K5"/>
    <mergeCell ref="A1:A5"/>
    <mergeCell ref="B1:B5"/>
    <mergeCell ref="C1:C5"/>
    <mergeCell ref="L1:L5"/>
    <mergeCell ref="M1:M5"/>
    <mergeCell ref="A6:A10"/>
    <mergeCell ref="L6:L10"/>
    <mergeCell ref="A11:A15"/>
    <mergeCell ref="L11:L15"/>
    <mergeCell ref="A16:A20"/>
    <mergeCell ref="L16:L20"/>
    <mergeCell ref="A21:A25"/>
    <mergeCell ref="L21:L25"/>
    <mergeCell ref="A26:A30"/>
    <mergeCell ref="L26:L30"/>
    <mergeCell ref="A31:A35"/>
    <mergeCell ref="L31:L3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36"/>
  <sheetViews>
    <sheetView zoomScale="53" zoomScaleNormal="53" workbookViewId="0">
      <pane xSplit="3" ySplit="5" topLeftCell="D27" activePane="bottomRight" state="frozen"/>
      <selection pane="topRight" activeCell="D1" sqref="D1"/>
      <selection pane="bottomLeft" activeCell="A6" sqref="A6"/>
      <selection pane="bottomRight" activeCell="S28" sqref="S28"/>
    </sheetView>
  </sheetViews>
  <sheetFormatPr defaultRowHeight="15" x14ac:dyDescent="0.25"/>
  <cols>
    <col min="1" max="1" width="9.140625" style="108" customWidth="1"/>
    <col min="2" max="3" width="5.7109375" style="64" customWidth="1"/>
    <col min="4" max="4" width="35.5703125" style="107" customWidth="1"/>
    <col min="5" max="5" width="35.85546875" style="107" customWidth="1"/>
    <col min="6" max="6" width="35.7109375" style="107" customWidth="1"/>
    <col min="7" max="7" width="34.42578125" style="107" customWidth="1"/>
    <col min="8" max="8" width="36.140625" style="107" customWidth="1"/>
    <col min="9" max="9" width="36.85546875" style="107" customWidth="1"/>
    <col min="10" max="10" width="36" style="107" customWidth="1"/>
    <col min="11" max="12" width="36.140625" style="107" customWidth="1"/>
    <col min="13" max="13" width="36.42578125" style="107" customWidth="1"/>
    <col min="14" max="14" width="35.28515625" style="107" customWidth="1"/>
    <col min="15" max="16" width="35.42578125" style="107" customWidth="1"/>
    <col min="17" max="17" width="36.42578125" style="107" customWidth="1"/>
    <col min="18" max="20" width="36.140625" style="107" customWidth="1"/>
    <col min="21" max="21" width="9.140625" style="108" customWidth="1"/>
    <col min="22" max="23" width="5.7109375" style="64" customWidth="1"/>
  </cols>
  <sheetData>
    <row r="1" spans="1:23" ht="21" customHeight="1" x14ac:dyDescent="0.25">
      <c r="A1" s="217" t="s">
        <v>0</v>
      </c>
      <c r="B1" s="215" t="s">
        <v>1</v>
      </c>
      <c r="C1" s="218" t="s">
        <v>2</v>
      </c>
      <c r="D1" s="65" t="s">
        <v>26</v>
      </c>
      <c r="E1" s="65" t="s">
        <v>27</v>
      </c>
      <c r="F1" s="65" t="s">
        <v>28</v>
      </c>
      <c r="G1" s="65" t="s">
        <v>29</v>
      </c>
      <c r="H1" s="65" t="s">
        <v>30</v>
      </c>
      <c r="I1" s="65" t="s">
        <v>31</v>
      </c>
      <c r="J1" s="65" t="s">
        <v>32</v>
      </c>
      <c r="K1" s="65" t="s">
        <v>33</v>
      </c>
      <c r="L1" s="65" t="s">
        <v>34</v>
      </c>
      <c r="M1" s="65" t="s">
        <v>35</v>
      </c>
      <c r="N1" s="65" t="s">
        <v>36</v>
      </c>
      <c r="O1" s="65" t="s">
        <v>37</v>
      </c>
      <c r="P1" s="65" t="s">
        <v>38</v>
      </c>
      <c r="Q1" s="65" t="s">
        <v>39</v>
      </c>
      <c r="R1" s="65" t="s">
        <v>40</v>
      </c>
      <c r="S1" s="65" t="s">
        <v>41</v>
      </c>
      <c r="T1" s="65" t="s">
        <v>42</v>
      </c>
      <c r="U1" s="219" t="s">
        <v>0</v>
      </c>
      <c r="V1" s="215" t="s">
        <v>1</v>
      </c>
      <c r="W1" s="219" t="s">
        <v>2</v>
      </c>
    </row>
    <row r="2" spans="1:23" ht="93.75" customHeight="1" x14ac:dyDescent="0.25">
      <c r="A2" s="178"/>
      <c r="B2" s="172"/>
      <c r="C2" s="175"/>
      <c r="D2" s="94" t="s">
        <v>117</v>
      </c>
      <c r="E2" s="94" t="s">
        <v>123</v>
      </c>
      <c r="F2" s="94" t="s">
        <v>125</v>
      </c>
      <c r="G2" s="94" t="s">
        <v>128</v>
      </c>
      <c r="H2" s="94" t="s">
        <v>119</v>
      </c>
      <c r="I2" s="94" t="s">
        <v>132</v>
      </c>
      <c r="J2" s="94" t="s">
        <v>122</v>
      </c>
      <c r="K2" s="94" t="s">
        <v>121</v>
      </c>
      <c r="L2" s="94" t="s">
        <v>121</v>
      </c>
      <c r="M2" s="94" t="s">
        <v>115</v>
      </c>
      <c r="N2" s="94" t="s">
        <v>116</v>
      </c>
      <c r="O2" s="94" t="s">
        <v>130</v>
      </c>
      <c r="P2" s="94" t="s">
        <v>118</v>
      </c>
      <c r="Q2" s="94" t="s">
        <v>135</v>
      </c>
      <c r="R2" s="94" t="s">
        <v>134</v>
      </c>
      <c r="S2" s="94" t="s">
        <v>129</v>
      </c>
      <c r="T2" s="94" t="s">
        <v>127</v>
      </c>
      <c r="U2" s="181"/>
      <c r="V2" s="172"/>
      <c r="W2" s="172"/>
    </row>
    <row r="3" spans="1:23" ht="19.5" customHeight="1" thickBot="1" x14ac:dyDescent="0.3">
      <c r="A3" s="178"/>
      <c r="B3" s="172"/>
      <c r="C3" s="175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181"/>
      <c r="V3" s="172"/>
      <c r="W3" s="172"/>
    </row>
    <row r="4" spans="1:23" ht="19.5" customHeight="1" thickBot="1" x14ac:dyDescent="0.3">
      <c r="A4" s="178"/>
      <c r="B4" s="172"/>
      <c r="C4" s="175"/>
      <c r="D4" s="56">
        <v>25</v>
      </c>
      <c r="E4" s="56">
        <v>25</v>
      </c>
      <c r="F4" s="56">
        <v>25</v>
      </c>
      <c r="G4" s="56">
        <v>25</v>
      </c>
      <c r="H4" s="56">
        <v>25</v>
      </c>
      <c r="I4" s="56">
        <v>25</v>
      </c>
      <c r="J4" s="56">
        <v>25</v>
      </c>
      <c r="K4" s="56">
        <v>25</v>
      </c>
      <c r="L4" s="56">
        <v>25</v>
      </c>
      <c r="M4" s="56">
        <v>25</v>
      </c>
      <c r="N4" s="56">
        <v>25</v>
      </c>
      <c r="O4" s="56">
        <v>25</v>
      </c>
      <c r="P4" s="56">
        <v>25</v>
      </c>
      <c r="Q4" s="56">
        <v>25</v>
      </c>
      <c r="R4" s="56">
        <v>25</v>
      </c>
      <c r="S4" s="56">
        <v>25</v>
      </c>
      <c r="T4" s="56">
        <v>25</v>
      </c>
      <c r="U4" s="181"/>
      <c r="V4" s="172"/>
      <c r="W4" s="221"/>
    </row>
    <row r="5" spans="1:23" ht="29.25" customHeight="1" thickBot="1" x14ac:dyDescent="0.3">
      <c r="A5" s="118"/>
      <c r="B5" s="117"/>
      <c r="C5" s="119"/>
      <c r="D5" s="220" t="str">
        <f>'4к 9 кл, 3к 11 кл'!D5:G5</f>
        <v>1 неделя</v>
      </c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54"/>
      <c r="V5" s="117"/>
      <c r="W5" s="115"/>
    </row>
    <row r="6" spans="1:23" ht="100.5" customHeight="1" x14ac:dyDescent="0.25">
      <c r="A6" s="214" t="str">
        <f>'4к 9 кл, 3к 11 кл'!A6:A10</f>
        <v>Понедельник  31.08.2026</v>
      </c>
      <c r="B6" s="57" t="s">
        <v>3</v>
      </c>
      <c r="C6" s="58">
        <v>1</v>
      </c>
      <c r="D6" s="128"/>
      <c r="E6" s="124"/>
      <c r="F6" s="3"/>
      <c r="G6" s="3"/>
      <c r="H6" s="128"/>
      <c r="I6" s="3"/>
      <c r="J6" s="3"/>
      <c r="K6" s="3"/>
      <c r="L6" s="3"/>
      <c r="M6" s="128"/>
      <c r="N6" s="3"/>
      <c r="O6" s="3"/>
      <c r="P6" s="3"/>
      <c r="Q6" s="128"/>
      <c r="R6" s="128"/>
      <c r="S6" s="3"/>
      <c r="T6" s="155"/>
      <c r="U6" s="213" t="str">
        <f>'4к 9 кл, 3к 11 кл'!A6:A10</f>
        <v>Понедельник  31.08.2026</v>
      </c>
      <c r="V6" s="57" t="s">
        <v>3</v>
      </c>
      <c r="W6" s="61">
        <v>1</v>
      </c>
    </row>
    <row r="7" spans="1:23" ht="105.75" customHeight="1" x14ac:dyDescent="0.25">
      <c r="A7" s="178"/>
      <c r="B7" s="115" t="s">
        <v>4</v>
      </c>
      <c r="C7" s="59">
        <v>2</v>
      </c>
      <c r="D7" s="128"/>
      <c r="E7" s="128"/>
      <c r="F7" s="3"/>
      <c r="G7" s="3"/>
      <c r="H7" s="128"/>
      <c r="I7" s="3"/>
      <c r="J7" s="128"/>
      <c r="K7" s="3"/>
      <c r="L7" s="3"/>
      <c r="M7" s="128"/>
      <c r="N7" s="128"/>
      <c r="O7" s="128"/>
      <c r="P7" s="128"/>
      <c r="Q7" s="3"/>
      <c r="R7" s="128"/>
      <c r="S7" s="128"/>
      <c r="T7" s="155"/>
      <c r="U7" s="181"/>
      <c r="V7" s="115" t="s">
        <v>4</v>
      </c>
      <c r="W7" s="61">
        <v>2</v>
      </c>
    </row>
    <row r="8" spans="1:23" ht="129" customHeight="1" x14ac:dyDescent="0.25">
      <c r="A8" s="178"/>
      <c r="B8" s="115" t="s">
        <v>5</v>
      </c>
      <c r="C8" s="59">
        <v>3</v>
      </c>
      <c r="D8" s="128"/>
      <c r="E8" s="137"/>
      <c r="F8" s="3"/>
      <c r="G8" s="3"/>
      <c r="H8" s="128"/>
      <c r="I8" s="128"/>
      <c r="J8" s="128"/>
      <c r="K8" s="3"/>
      <c r="L8" s="128"/>
      <c r="M8" s="128"/>
      <c r="N8" s="128"/>
      <c r="O8" s="128"/>
      <c r="P8" s="3"/>
      <c r="Q8" s="128"/>
      <c r="R8" s="128"/>
      <c r="S8" s="128"/>
      <c r="T8" s="155"/>
      <c r="U8" s="181"/>
      <c r="V8" s="115" t="s">
        <v>5</v>
      </c>
      <c r="W8" s="61">
        <v>3</v>
      </c>
    </row>
    <row r="9" spans="1:23" ht="103.5" customHeight="1" x14ac:dyDescent="0.25">
      <c r="A9" s="178"/>
      <c r="B9" s="115" t="s">
        <v>6</v>
      </c>
      <c r="C9" s="59">
        <v>4</v>
      </c>
      <c r="D9" s="128"/>
      <c r="E9" s="3"/>
      <c r="F9" s="3"/>
      <c r="G9" s="3"/>
      <c r="H9" s="128"/>
      <c r="I9" s="124"/>
      <c r="J9" s="3"/>
      <c r="K9" s="128"/>
      <c r="L9" s="128"/>
      <c r="M9" s="128"/>
      <c r="N9" s="128"/>
      <c r="O9" s="3"/>
      <c r="P9" s="128"/>
      <c r="Q9" s="128"/>
      <c r="R9" s="128"/>
      <c r="S9" s="128"/>
      <c r="T9" s="155"/>
      <c r="U9" s="181"/>
      <c r="V9" s="115" t="s">
        <v>6</v>
      </c>
      <c r="W9" s="61">
        <v>4</v>
      </c>
    </row>
    <row r="10" spans="1:23" ht="114.75" customHeight="1" thickBot="1" x14ac:dyDescent="0.3">
      <c r="A10" s="178"/>
      <c r="B10" s="63" t="s">
        <v>7</v>
      </c>
      <c r="C10" s="62">
        <v>5</v>
      </c>
      <c r="D10" s="129"/>
      <c r="E10" s="102"/>
      <c r="F10" s="129"/>
      <c r="G10" s="129"/>
      <c r="H10" s="129"/>
      <c r="I10" s="129"/>
      <c r="J10" s="102"/>
      <c r="K10" s="102"/>
      <c r="L10" s="102"/>
      <c r="M10" s="129"/>
      <c r="N10" s="129"/>
      <c r="O10" s="129"/>
      <c r="P10" s="129"/>
      <c r="Q10" s="129"/>
      <c r="R10" s="129"/>
      <c r="S10" s="102"/>
      <c r="T10" s="156"/>
      <c r="U10" s="181"/>
      <c r="V10" s="63" t="s">
        <v>7</v>
      </c>
      <c r="W10" s="61">
        <v>5</v>
      </c>
    </row>
    <row r="11" spans="1:23" ht="107.25" customHeight="1" x14ac:dyDescent="0.25">
      <c r="A11" s="216" t="str">
        <f>'4к 9 кл, 3к 11 кл'!A11:A15</f>
        <v>Вторник 01.09.2026</v>
      </c>
      <c r="B11" s="57" t="s">
        <v>3</v>
      </c>
      <c r="C11" s="58">
        <v>1</v>
      </c>
      <c r="D11" s="128"/>
      <c r="E11" s="128"/>
      <c r="F11" s="152"/>
      <c r="G11" s="101"/>
      <c r="H11" s="128"/>
      <c r="I11" s="137"/>
      <c r="J11" s="137"/>
      <c r="K11" s="3"/>
      <c r="L11" s="152"/>
      <c r="M11" s="3"/>
      <c r="N11" s="3"/>
      <c r="O11" s="137"/>
      <c r="P11" s="137"/>
      <c r="Q11" s="128"/>
      <c r="R11" s="137"/>
      <c r="S11" s="137"/>
      <c r="T11" s="157"/>
      <c r="U11" s="213" t="str">
        <f>'4к 9 кл, 3к 11 кл'!A11:A15</f>
        <v>Вторник 01.09.2026</v>
      </c>
      <c r="V11" s="57" t="s">
        <v>3</v>
      </c>
      <c r="W11" s="61">
        <v>1</v>
      </c>
    </row>
    <row r="12" spans="1:23" ht="108.75" customHeight="1" x14ac:dyDescent="0.25">
      <c r="A12" s="178"/>
      <c r="B12" s="115" t="s">
        <v>4</v>
      </c>
      <c r="C12" s="59">
        <v>2</v>
      </c>
      <c r="D12" s="128"/>
      <c r="E12" s="128"/>
      <c r="F12" s="128"/>
      <c r="G12" s="3"/>
      <c r="H12" s="128"/>
      <c r="I12" s="124"/>
      <c r="J12" s="3"/>
      <c r="K12" s="3"/>
      <c r="L12" s="128"/>
      <c r="M12" s="3"/>
      <c r="N12" s="3"/>
      <c r="O12" s="3"/>
      <c r="P12" s="128"/>
      <c r="Q12" s="3"/>
      <c r="R12" s="3"/>
      <c r="S12" s="128"/>
      <c r="T12" s="155"/>
      <c r="U12" s="181"/>
      <c r="V12" s="115" t="s">
        <v>4</v>
      </c>
      <c r="W12" s="61">
        <v>2</v>
      </c>
    </row>
    <row r="13" spans="1:23" ht="132.75" customHeight="1" x14ac:dyDescent="0.25">
      <c r="A13" s="178"/>
      <c r="B13" s="115" t="s">
        <v>5</v>
      </c>
      <c r="C13" s="59">
        <v>3</v>
      </c>
      <c r="D13" s="128"/>
      <c r="E13" s="128"/>
      <c r="F13" s="3"/>
      <c r="G13" s="128"/>
      <c r="H13" s="128"/>
      <c r="I13" s="128"/>
      <c r="J13" s="3"/>
      <c r="K13" s="3"/>
      <c r="L13" s="128"/>
      <c r="M13" s="128"/>
      <c r="N13" s="3"/>
      <c r="O13" s="101"/>
      <c r="P13" s="128"/>
      <c r="Q13" s="3"/>
      <c r="R13" s="128"/>
      <c r="S13" s="3"/>
      <c r="T13" s="158"/>
      <c r="U13" s="181"/>
      <c r="V13" s="115" t="s">
        <v>5</v>
      </c>
      <c r="W13" s="61">
        <v>3</v>
      </c>
    </row>
    <row r="14" spans="1:23" ht="122.25" customHeight="1" x14ac:dyDescent="0.25">
      <c r="A14" s="178"/>
      <c r="B14" s="115" t="s">
        <v>6</v>
      </c>
      <c r="C14" s="59">
        <v>4</v>
      </c>
      <c r="D14" s="128"/>
      <c r="E14" s="128"/>
      <c r="F14" s="3"/>
      <c r="G14" s="128"/>
      <c r="H14" s="128"/>
      <c r="I14" s="3"/>
      <c r="J14" s="3"/>
      <c r="K14" s="3"/>
      <c r="L14" s="3"/>
      <c r="M14" s="128"/>
      <c r="N14" s="3"/>
      <c r="O14" s="3"/>
      <c r="P14" s="128"/>
      <c r="Q14" s="128"/>
      <c r="R14" s="128"/>
      <c r="S14" s="3"/>
      <c r="T14" s="158"/>
      <c r="U14" s="181"/>
      <c r="V14" s="115" t="s">
        <v>6</v>
      </c>
      <c r="W14" s="61">
        <v>4</v>
      </c>
    </row>
    <row r="15" spans="1:23" ht="108.75" customHeight="1" thickBot="1" x14ac:dyDescent="0.3">
      <c r="A15" s="179"/>
      <c r="B15" s="116" t="s">
        <v>7</v>
      </c>
      <c r="C15" s="60">
        <v>5</v>
      </c>
      <c r="D15" s="129"/>
      <c r="E15" s="129"/>
      <c r="F15" s="102"/>
      <c r="G15" s="129"/>
      <c r="H15" s="129"/>
      <c r="I15" s="129"/>
      <c r="J15" s="102"/>
      <c r="K15" s="102"/>
      <c r="L15" s="102"/>
      <c r="M15" s="129"/>
      <c r="N15" s="102"/>
      <c r="O15" s="102"/>
      <c r="P15" s="102"/>
      <c r="Q15" s="129"/>
      <c r="R15" s="129"/>
      <c r="S15" s="129"/>
      <c r="T15" s="159"/>
      <c r="U15" s="181"/>
      <c r="V15" s="116" t="s">
        <v>7</v>
      </c>
      <c r="W15" s="61">
        <v>5</v>
      </c>
    </row>
    <row r="16" spans="1:23" ht="117.75" customHeight="1" x14ac:dyDescent="0.25">
      <c r="A16" s="214" t="str">
        <f>'4к 9 кл, 3к 11 кл'!A16:A20</f>
        <v>Среда 02.09.2026</v>
      </c>
      <c r="B16" s="57" t="s">
        <v>3</v>
      </c>
      <c r="C16" s="58">
        <v>1</v>
      </c>
      <c r="D16" s="128" t="s">
        <v>225</v>
      </c>
      <c r="E16" s="101"/>
      <c r="F16" s="101"/>
      <c r="G16" s="127"/>
      <c r="H16" s="137" t="s">
        <v>231</v>
      </c>
      <c r="I16" s="127"/>
      <c r="J16" s="101" t="s">
        <v>233</v>
      </c>
      <c r="K16" s="3"/>
      <c r="L16" s="101"/>
      <c r="M16" s="152" t="s">
        <v>371</v>
      </c>
      <c r="N16" s="101"/>
      <c r="O16" s="128" t="s">
        <v>242</v>
      </c>
      <c r="P16" s="101"/>
      <c r="Q16" s="3"/>
      <c r="R16" s="101"/>
      <c r="S16" s="101" t="s">
        <v>234</v>
      </c>
      <c r="T16" s="160" t="s">
        <v>230</v>
      </c>
      <c r="U16" s="213" t="str">
        <f>'4к 9 кл, 3к 11 кл'!A16:A20</f>
        <v>Среда 02.09.2026</v>
      </c>
      <c r="V16" s="57" t="s">
        <v>3</v>
      </c>
      <c r="W16" s="61">
        <v>1</v>
      </c>
    </row>
    <row r="17" spans="1:23" ht="117.75" customHeight="1" x14ac:dyDescent="0.25">
      <c r="A17" s="178"/>
      <c r="B17" s="115" t="s">
        <v>4</v>
      </c>
      <c r="C17" s="59">
        <v>2</v>
      </c>
      <c r="D17" s="128" t="s">
        <v>226</v>
      </c>
      <c r="E17" s="128" t="s">
        <v>230</v>
      </c>
      <c r="F17" s="3"/>
      <c r="G17" s="101" t="s">
        <v>231</v>
      </c>
      <c r="H17" s="3" t="s">
        <v>232</v>
      </c>
      <c r="I17" s="124"/>
      <c r="J17" s="137" t="s">
        <v>233</v>
      </c>
      <c r="K17" s="3"/>
      <c r="L17" s="128"/>
      <c r="M17" s="128" t="s">
        <v>237</v>
      </c>
      <c r="N17" s="3"/>
      <c r="O17" s="128" t="s">
        <v>242</v>
      </c>
      <c r="P17" s="128" t="s">
        <v>229</v>
      </c>
      <c r="Q17" s="3"/>
      <c r="R17" s="3"/>
      <c r="S17" s="128" t="s">
        <v>241</v>
      </c>
      <c r="T17" s="158" t="s">
        <v>371</v>
      </c>
      <c r="U17" s="181"/>
      <c r="V17" s="115" t="s">
        <v>4</v>
      </c>
      <c r="W17" s="61">
        <v>2</v>
      </c>
    </row>
    <row r="18" spans="1:23" ht="279" customHeight="1" x14ac:dyDescent="0.25">
      <c r="A18" s="178"/>
      <c r="B18" s="115" t="s">
        <v>5</v>
      </c>
      <c r="C18" s="59">
        <v>3</v>
      </c>
      <c r="D18" s="128" t="s">
        <v>227</v>
      </c>
      <c r="E18" s="3" t="s">
        <v>386</v>
      </c>
      <c r="F18" s="3"/>
      <c r="G18" s="3" t="s">
        <v>229</v>
      </c>
      <c r="H18" s="3" t="s">
        <v>225</v>
      </c>
      <c r="I18" s="128" t="s">
        <v>230</v>
      </c>
      <c r="J18" s="3" t="s">
        <v>386</v>
      </c>
      <c r="K18" s="3" t="s">
        <v>126</v>
      </c>
      <c r="L18" s="3"/>
      <c r="M18" s="128" t="s">
        <v>238</v>
      </c>
      <c r="N18" s="137"/>
      <c r="O18" s="128" t="s">
        <v>391</v>
      </c>
      <c r="P18" s="128" t="s">
        <v>371</v>
      </c>
      <c r="Q18" s="137" t="s">
        <v>243</v>
      </c>
      <c r="R18" s="128"/>
      <c r="S18" s="128" t="s">
        <v>241</v>
      </c>
      <c r="T18" s="155" t="s">
        <v>228</v>
      </c>
      <c r="U18" s="181"/>
      <c r="V18" s="115" t="s">
        <v>5</v>
      </c>
      <c r="W18" s="61">
        <v>3</v>
      </c>
    </row>
    <row r="19" spans="1:23" ht="127.5" customHeight="1" x14ac:dyDescent="0.25">
      <c r="A19" s="178"/>
      <c r="B19" s="115" t="s">
        <v>6</v>
      </c>
      <c r="C19" s="59">
        <v>4</v>
      </c>
      <c r="D19" s="128" t="s">
        <v>228</v>
      </c>
      <c r="E19" s="137"/>
      <c r="F19" s="3"/>
      <c r="G19" s="3"/>
      <c r="H19" s="3" t="s">
        <v>230</v>
      </c>
      <c r="I19" s="128"/>
      <c r="J19" s="128" t="s">
        <v>234</v>
      </c>
      <c r="K19" s="128" t="s">
        <v>243</v>
      </c>
      <c r="L19" s="128"/>
      <c r="M19" s="128"/>
      <c r="N19" s="128" t="s">
        <v>239</v>
      </c>
      <c r="O19" s="128"/>
      <c r="P19" s="3" t="s">
        <v>240</v>
      </c>
      <c r="Q19" s="3" t="s">
        <v>245</v>
      </c>
      <c r="R19" s="3"/>
      <c r="S19" s="128"/>
      <c r="T19" s="155"/>
      <c r="U19" s="181"/>
      <c r="V19" s="115" t="s">
        <v>6</v>
      </c>
      <c r="W19" s="61">
        <v>4</v>
      </c>
    </row>
    <row r="20" spans="1:23" ht="130.5" customHeight="1" thickBot="1" x14ac:dyDescent="0.3">
      <c r="A20" s="178"/>
      <c r="B20" s="115" t="s">
        <v>7</v>
      </c>
      <c r="C20" s="62">
        <v>5</v>
      </c>
      <c r="D20" s="129" t="s">
        <v>229</v>
      </c>
      <c r="E20" s="145"/>
      <c r="F20" s="145"/>
      <c r="G20" s="102"/>
      <c r="H20" s="102"/>
      <c r="I20" s="129"/>
      <c r="J20" s="129" t="s">
        <v>235</v>
      </c>
      <c r="K20" s="129" t="s">
        <v>236</v>
      </c>
      <c r="L20" s="129"/>
      <c r="M20" s="150"/>
      <c r="N20" s="129" t="s">
        <v>243</v>
      </c>
      <c r="O20" s="129"/>
      <c r="P20" s="129" t="s">
        <v>228</v>
      </c>
      <c r="Q20" s="102" t="s">
        <v>240</v>
      </c>
      <c r="R20" s="102"/>
      <c r="S20" s="102"/>
      <c r="T20" s="159"/>
      <c r="U20" s="181"/>
      <c r="V20" s="63" t="s">
        <v>7</v>
      </c>
      <c r="W20" s="61">
        <v>5</v>
      </c>
    </row>
    <row r="21" spans="1:23" ht="108.75" customHeight="1" x14ac:dyDescent="0.25">
      <c r="A21" s="216" t="str">
        <f>'4к 9 кл, 3к 11 кл'!A21:A25</f>
        <v>Четверг 03.09.2026</v>
      </c>
      <c r="B21" s="57" t="s">
        <v>3</v>
      </c>
      <c r="C21" s="58">
        <v>1</v>
      </c>
      <c r="D21" s="137" t="s">
        <v>233</v>
      </c>
      <c r="E21" s="101"/>
      <c r="F21" s="127"/>
      <c r="G21" s="101"/>
      <c r="H21" s="127"/>
      <c r="I21" s="137" t="s">
        <v>286</v>
      </c>
      <c r="J21" s="137"/>
      <c r="K21" s="137" t="s">
        <v>292</v>
      </c>
      <c r="L21" s="101"/>
      <c r="M21" s="3" t="s">
        <v>288</v>
      </c>
      <c r="N21" s="3"/>
      <c r="O21" s="101"/>
      <c r="P21" s="101"/>
      <c r="Q21" s="101"/>
      <c r="R21" s="128" t="s">
        <v>230</v>
      </c>
      <c r="S21" s="137" t="s">
        <v>291</v>
      </c>
      <c r="T21" s="161"/>
      <c r="U21" s="213" t="str">
        <f>'4к 9 кл, 3к 11 кл'!A21:A25</f>
        <v>Четверг 03.09.2026</v>
      </c>
      <c r="V21" s="57" t="s">
        <v>3</v>
      </c>
      <c r="W21" s="61">
        <v>1</v>
      </c>
    </row>
    <row r="22" spans="1:23" ht="120.75" customHeight="1" x14ac:dyDescent="0.25">
      <c r="A22" s="178"/>
      <c r="B22" s="115" t="s">
        <v>4</v>
      </c>
      <c r="C22" s="59">
        <v>2</v>
      </c>
      <c r="D22" s="137" t="s">
        <v>291</v>
      </c>
      <c r="E22" s="128" t="s">
        <v>233</v>
      </c>
      <c r="F22" s="128"/>
      <c r="G22" s="128" t="s">
        <v>294</v>
      </c>
      <c r="H22" s="128"/>
      <c r="I22" s="3" t="s">
        <v>287</v>
      </c>
      <c r="J22" s="3"/>
      <c r="K22" s="128" t="s">
        <v>284</v>
      </c>
      <c r="L22" s="3"/>
      <c r="M22" s="128" t="s">
        <v>288</v>
      </c>
      <c r="N22" s="128"/>
      <c r="O22" s="128" t="s">
        <v>289</v>
      </c>
      <c r="P22" s="3"/>
      <c r="Q22" s="3"/>
      <c r="R22" s="128" t="s">
        <v>292</v>
      </c>
      <c r="S22" s="3" t="s">
        <v>230</v>
      </c>
      <c r="T22" s="155"/>
      <c r="U22" s="181"/>
      <c r="V22" s="115" t="s">
        <v>4</v>
      </c>
      <c r="W22" s="61">
        <v>2</v>
      </c>
    </row>
    <row r="23" spans="1:23" ht="201" customHeight="1" x14ac:dyDescent="0.25">
      <c r="A23" s="178"/>
      <c r="B23" s="115" t="s">
        <v>5</v>
      </c>
      <c r="C23" s="59">
        <v>3</v>
      </c>
      <c r="D23" s="128" t="s">
        <v>227</v>
      </c>
      <c r="E23" s="137" t="s">
        <v>233</v>
      </c>
      <c r="F23" s="128"/>
      <c r="G23" s="128" t="s">
        <v>294</v>
      </c>
      <c r="H23" s="128" t="s">
        <v>285</v>
      </c>
      <c r="I23" s="128" t="s">
        <v>393</v>
      </c>
      <c r="J23" s="128" t="s">
        <v>291</v>
      </c>
      <c r="K23" s="3" t="s">
        <v>284</v>
      </c>
      <c r="L23" s="128" t="s">
        <v>293</v>
      </c>
      <c r="M23" s="3" t="s">
        <v>287</v>
      </c>
      <c r="N23" s="3"/>
      <c r="O23" s="128" t="s">
        <v>230</v>
      </c>
      <c r="P23" s="3" t="s">
        <v>288</v>
      </c>
      <c r="Q23" s="3" t="s">
        <v>229</v>
      </c>
      <c r="R23" s="128"/>
      <c r="S23" s="3" t="s">
        <v>392</v>
      </c>
      <c r="T23" s="158"/>
      <c r="U23" s="181"/>
      <c r="V23" s="115" t="s">
        <v>5</v>
      </c>
      <c r="W23" s="61">
        <v>3</v>
      </c>
    </row>
    <row r="24" spans="1:23" ht="112.5" customHeight="1" x14ac:dyDescent="0.25">
      <c r="A24" s="178"/>
      <c r="B24" s="115" t="s">
        <v>6</v>
      </c>
      <c r="C24" s="59">
        <v>4</v>
      </c>
      <c r="D24" s="3"/>
      <c r="E24" s="128" t="s">
        <v>372</v>
      </c>
      <c r="F24" s="128" t="s">
        <v>230</v>
      </c>
      <c r="G24" s="3"/>
      <c r="H24" s="3" t="s">
        <v>284</v>
      </c>
      <c r="I24" s="128" t="s">
        <v>291</v>
      </c>
      <c r="J24" s="3" t="s">
        <v>233</v>
      </c>
      <c r="K24" s="3"/>
      <c r="L24" s="128" t="s">
        <v>285</v>
      </c>
      <c r="M24" s="3" t="s">
        <v>286</v>
      </c>
      <c r="N24" s="3"/>
      <c r="O24" s="128" t="s">
        <v>290</v>
      </c>
      <c r="P24" s="3" t="s">
        <v>288</v>
      </c>
      <c r="Q24" s="3"/>
      <c r="R24" s="3"/>
      <c r="S24" s="128"/>
      <c r="T24" s="158"/>
      <c r="U24" s="181"/>
      <c r="V24" s="115" t="s">
        <v>6</v>
      </c>
      <c r="W24" s="61">
        <v>4</v>
      </c>
    </row>
    <row r="25" spans="1:23" ht="141.75" customHeight="1" thickBot="1" x14ac:dyDescent="0.3">
      <c r="A25" s="179"/>
      <c r="B25" s="63" t="s">
        <v>7</v>
      </c>
      <c r="C25" s="62">
        <v>5</v>
      </c>
      <c r="D25" s="129"/>
      <c r="E25" s="129" t="s">
        <v>282</v>
      </c>
      <c r="F25" s="129" t="s">
        <v>283</v>
      </c>
      <c r="G25" s="140"/>
      <c r="H25" s="102"/>
      <c r="I25" s="140" t="s">
        <v>288</v>
      </c>
      <c r="J25" s="102" t="s">
        <v>233</v>
      </c>
      <c r="K25" s="129"/>
      <c r="L25" s="129" t="s">
        <v>291</v>
      </c>
      <c r="M25" s="102" t="s">
        <v>285</v>
      </c>
      <c r="N25" s="102"/>
      <c r="O25" s="102" t="s">
        <v>229</v>
      </c>
      <c r="P25" s="102"/>
      <c r="Q25" s="102"/>
      <c r="R25" s="102"/>
      <c r="S25" s="102"/>
      <c r="T25" s="156"/>
      <c r="U25" s="181"/>
      <c r="V25" s="63" t="s">
        <v>7</v>
      </c>
      <c r="W25" s="61">
        <v>5</v>
      </c>
    </row>
    <row r="26" spans="1:23" ht="113.25" customHeight="1" x14ac:dyDescent="0.25">
      <c r="A26" s="214" t="str">
        <f>'4к 9 кл, 3к 11 кл'!A26:A30</f>
        <v>Пятница 04.09.2026</v>
      </c>
      <c r="B26" s="57" t="s">
        <v>3</v>
      </c>
      <c r="C26" s="58">
        <v>1</v>
      </c>
      <c r="D26" s="137" t="s">
        <v>240</v>
      </c>
      <c r="E26" s="137"/>
      <c r="F26" s="137" t="s">
        <v>326</v>
      </c>
      <c r="G26" s="3"/>
      <c r="H26" s="128" t="s">
        <v>284</v>
      </c>
      <c r="I26" s="137"/>
      <c r="J26" s="137"/>
      <c r="K26" s="3"/>
      <c r="L26" s="137"/>
      <c r="M26" s="3"/>
      <c r="N26" s="3" t="s">
        <v>230</v>
      </c>
      <c r="O26" s="101"/>
      <c r="P26" s="137" t="s">
        <v>327</v>
      </c>
      <c r="Q26" s="137"/>
      <c r="R26" s="137" t="s">
        <v>295</v>
      </c>
      <c r="S26" s="101"/>
      <c r="T26" s="157"/>
      <c r="U26" s="213" t="str">
        <f>'4к 9 кл, 3к 11 кл'!A26:A30</f>
        <v>Пятница 04.09.2026</v>
      </c>
      <c r="V26" s="57" t="s">
        <v>3</v>
      </c>
      <c r="W26" s="61">
        <v>1</v>
      </c>
    </row>
    <row r="27" spans="1:23" ht="118.5" customHeight="1" x14ac:dyDescent="0.25">
      <c r="A27" s="178"/>
      <c r="B27" s="115" t="s">
        <v>4</v>
      </c>
      <c r="C27" s="105">
        <v>2</v>
      </c>
      <c r="D27" s="3" t="s">
        <v>286</v>
      </c>
      <c r="E27" s="128" t="s">
        <v>321</v>
      </c>
      <c r="F27" s="128" t="s">
        <v>295</v>
      </c>
      <c r="G27" s="101"/>
      <c r="H27" s="128" t="s">
        <v>284</v>
      </c>
      <c r="I27" s="137"/>
      <c r="J27" s="137"/>
      <c r="K27" s="3"/>
      <c r="L27" s="128"/>
      <c r="M27" s="128" t="s">
        <v>327</v>
      </c>
      <c r="N27" s="128" t="s">
        <v>326</v>
      </c>
      <c r="O27" s="128" t="s">
        <v>240</v>
      </c>
      <c r="P27" s="3" t="s">
        <v>230</v>
      </c>
      <c r="Q27" s="128"/>
      <c r="R27" s="128" t="s">
        <v>324</v>
      </c>
      <c r="S27" s="101"/>
      <c r="T27" s="155"/>
      <c r="U27" s="181"/>
      <c r="V27" s="115" t="s">
        <v>4</v>
      </c>
      <c r="W27" s="61">
        <v>2</v>
      </c>
    </row>
    <row r="28" spans="1:23" ht="409.6" customHeight="1" x14ac:dyDescent="0.25">
      <c r="A28" s="178"/>
      <c r="B28" s="115" t="s">
        <v>5</v>
      </c>
      <c r="C28" s="105">
        <v>3</v>
      </c>
      <c r="D28" s="3" t="s">
        <v>287</v>
      </c>
      <c r="E28" s="3" t="s">
        <v>229</v>
      </c>
      <c r="F28" s="128" t="s">
        <v>227</v>
      </c>
      <c r="G28" s="3"/>
      <c r="H28" s="101" t="s">
        <v>399</v>
      </c>
      <c r="I28" s="128" t="s">
        <v>326</v>
      </c>
      <c r="J28" s="128" t="s">
        <v>321</v>
      </c>
      <c r="K28" s="137" t="s">
        <v>284</v>
      </c>
      <c r="L28" s="128" t="s">
        <v>327</v>
      </c>
      <c r="M28" s="128" t="s">
        <v>230</v>
      </c>
      <c r="N28" s="128" t="s">
        <v>295</v>
      </c>
      <c r="O28" s="3" t="s">
        <v>240</v>
      </c>
      <c r="P28" s="3" t="s">
        <v>402</v>
      </c>
      <c r="Q28" s="3" t="s">
        <v>402</v>
      </c>
      <c r="R28" s="3" t="s">
        <v>402</v>
      </c>
      <c r="S28" s="128"/>
      <c r="T28" s="158" t="s">
        <v>325</v>
      </c>
      <c r="U28" s="181"/>
      <c r="V28" s="115" t="s">
        <v>5</v>
      </c>
      <c r="W28" s="61">
        <v>3</v>
      </c>
    </row>
    <row r="29" spans="1:23" ht="99.75" customHeight="1" x14ac:dyDescent="0.25">
      <c r="A29" s="178"/>
      <c r="B29" s="115" t="s">
        <v>6</v>
      </c>
      <c r="C29" s="59">
        <v>4</v>
      </c>
      <c r="D29" s="128" t="s">
        <v>321</v>
      </c>
      <c r="E29" s="128" t="s">
        <v>227</v>
      </c>
      <c r="F29" s="3" t="s">
        <v>229</v>
      </c>
      <c r="G29" s="128"/>
      <c r="H29" s="128" t="s">
        <v>295</v>
      </c>
      <c r="I29" s="3" t="s">
        <v>322</v>
      </c>
      <c r="J29" s="128" t="s">
        <v>326</v>
      </c>
      <c r="K29" s="101" t="s">
        <v>284</v>
      </c>
      <c r="L29" s="3" t="s">
        <v>240</v>
      </c>
      <c r="M29" s="128" t="s">
        <v>327</v>
      </c>
      <c r="N29" s="101"/>
      <c r="O29" s="128"/>
      <c r="P29" s="128" t="s">
        <v>323</v>
      </c>
      <c r="Q29" s="3" t="s">
        <v>230</v>
      </c>
      <c r="R29" s="128"/>
      <c r="S29" s="128"/>
      <c r="T29" s="155" t="s">
        <v>283</v>
      </c>
      <c r="U29" s="181"/>
      <c r="V29" s="115" t="s">
        <v>6</v>
      </c>
      <c r="W29" s="61">
        <v>4</v>
      </c>
    </row>
    <row r="30" spans="1:23" ht="117" customHeight="1" thickBot="1" x14ac:dyDescent="0.3">
      <c r="A30" s="178"/>
      <c r="B30" s="63" t="s">
        <v>7</v>
      </c>
      <c r="C30" s="62">
        <v>5</v>
      </c>
      <c r="D30" s="129" t="s">
        <v>321</v>
      </c>
      <c r="E30" s="129"/>
      <c r="F30" s="129" t="s">
        <v>295</v>
      </c>
      <c r="G30" s="129"/>
      <c r="H30" s="102"/>
      <c r="I30" s="150"/>
      <c r="J30" s="150" t="s">
        <v>327</v>
      </c>
      <c r="K30" s="129"/>
      <c r="L30" s="129" t="s">
        <v>283</v>
      </c>
      <c r="M30" s="102" t="s">
        <v>240</v>
      </c>
      <c r="N30" s="129"/>
      <c r="O30" s="102"/>
      <c r="P30" s="129" t="s">
        <v>323</v>
      </c>
      <c r="Q30" s="129"/>
      <c r="R30" s="129"/>
      <c r="S30" s="129"/>
      <c r="T30" s="156" t="s">
        <v>229</v>
      </c>
      <c r="U30" s="181"/>
      <c r="V30" s="63" t="s">
        <v>7</v>
      </c>
      <c r="W30" s="61">
        <v>5</v>
      </c>
    </row>
    <row r="31" spans="1:23" ht="101.25" customHeight="1" x14ac:dyDescent="0.25">
      <c r="A31" s="216" t="str">
        <f>'4к 9 кл, 3к 11 кл'!A31:A35</f>
        <v>Суббота 05.09.2026</v>
      </c>
      <c r="B31" s="57" t="s">
        <v>3</v>
      </c>
      <c r="C31" s="58">
        <v>1</v>
      </c>
      <c r="D31" s="101" t="s">
        <v>230</v>
      </c>
      <c r="E31" s="3"/>
      <c r="F31" s="101"/>
      <c r="G31" s="151" t="s">
        <v>244</v>
      </c>
      <c r="H31" s="3"/>
      <c r="I31" s="127" t="s">
        <v>353</v>
      </c>
      <c r="J31" s="137"/>
      <c r="K31" s="101" t="s">
        <v>341</v>
      </c>
      <c r="L31" s="128"/>
      <c r="M31" s="3"/>
      <c r="N31" s="101"/>
      <c r="O31" s="101"/>
      <c r="P31" s="101"/>
      <c r="Q31" s="101"/>
      <c r="R31" s="128"/>
      <c r="S31" s="101"/>
      <c r="T31" s="161"/>
      <c r="U31" s="213" t="str">
        <f>'4к 9 кл, 3к 11 кл'!A31:A35</f>
        <v>Суббота 05.09.2026</v>
      </c>
      <c r="V31" s="57" t="s">
        <v>3</v>
      </c>
      <c r="W31" s="61">
        <v>1</v>
      </c>
    </row>
    <row r="32" spans="1:23" ht="108" customHeight="1" x14ac:dyDescent="0.25">
      <c r="A32" s="178"/>
      <c r="B32" s="115" t="s">
        <v>4</v>
      </c>
      <c r="C32" s="59">
        <v>2</v>
      </c>
      <c r="D32" s="101" t="s">
        <v>244</v>
      </c>
      <c r="E32" s="3" t="s">
        <v>354</v>
      </c>
      <c r="F32" s="3"/>
      <c r="G32" s="3" t="s">
        <v>240</v>
      </c>
      <c r="H32" s="124"/>
      <c r="I32" s="124" t="s">
        <v>357</v>
      </c>
      <c r="J32" s="137"/>
      <c r="K32" s="124" t="s">
        <v>230</v>
      </c>
      <c r="L32" s="128"/>
      <c r="M32" s="3"/>
      <c r="N32" s="101"/>
      <c r="O32" s="3"/>
      <c r="P32" s="3"/>
      <c r="Q32" s="3"/>
      <c r="R32" s="128"/>
      <c r="S32" s="3"/>
      <c r="T32" s="155"/>
      <c r="U32" s="181"/>
      <c r="V32" s="115" t="s">
        <v>4</v>
      </c>
      <c r="W32" s="61">
        <v>2</v>
      </c>
    </row>
    <row r="33" spans="1:23" ht="93" customHeight="1" x14ac:dyDescent="0.25">
      <c r="A33" s="178"/>
      <c r="B33" s="115" t="s">
        <v>5</v>
      </c>
      <c r="C33" s="59">
        <v>3</v>
      </c>
      <c r="D33" s="101" t="s">
        <v>353</v>
      </c>
      <c r="E33" s="3" t="s">
        <v>244</v>
      </c>
      <c r="F33" s="3"/>
      <c r="G33" s="3" t="s">
        <v>355</v>
      </c>
      <c r="H33" s="124" t="s">
        <v>240</v>
      </c>
      <c r="I33" s="3" t="s">
        <v>357</v>
      </c>
      <c r="J33" s="124" t="s">
        <v>356</v>
      </c>
      <c r="K33" s="124"/>
      <c r="L33" s="128"/>
      <c r="M33" s="128"/>
      <c r="N33" s="101"/>
      <c r="O33" s="3"/>
      <c r="P33" s="3"/>
      <c r="Q33" s="3"/>
      <c r="R33" s="128"/>
      <c r="S33" s="3"/>
      <c r="T33" s="155"/>
      <c r="U33" s="181"/>
      <c r="V33" s="115" t="s">
        <v>5</v>
      </c>
      <c r="W33" s="61">
        <v>3</v>
      </c>
    </row>
    <row r="34" spans="1:23" ht="83.25" customHeight="1" x14ac:dyDescent="0.25">
      <c r="A34" s="178"/>
      <c r="B34" s="115" t="s">
        <v>6</v>
      </c>
      <c r="C34" s="59">
        <v>4</v>
      </c>
      <c r="D34" s="101"/>
      <c r="E34" s="3"/>
      <c r="F34" s="3"/>
      <c r="G34" s="101" t="s">
        <v>356</v>
      </c>
      <c r="H34" s="124" t="s">
        <v>284</v>
      </c>
      <c r="I34" s="3" t="s">
        <v>240</v>
      </c>
      <c r="J34" s="124" t="s">
        <v>230</v>
      </c>
      <c r="K34" s="101"/>
      <c r="L34" s="128"/>
      <c r="M34" s="128" t="s">
        <v>357</v>
      </c>
      <c r="N34" s="128"/>
      <c r="O34" s="3"/>
      <c r="P34" s="3"/>
      <c r="Q34" s="3"/>
      <c r="R34" s="128"/>
      <c r="S34" s="3" t="s">
        <v>244</v>
      </c>
      <c r="T34" s="155"/>
      <c r="U34" s="181"/>
      <c r="V34" s="115" t="s">
        <v>6</v>
      </c>
      <c r="W34" s="61">
        <v>4</v>
      </c>
    </row>
    <row r="35" spans="1:23" ht="100.5" customHeight="1" thickBot="1" x14ac:dyDescent="0.3">
      <c r="A35" s="179"/>
      <c r="B35" s="63" t="s">
        <v>7</v>
      </c>
      <c r="C35" s="62">
        <v>5</v>
      </c>
      <c r="D35" s="102"/>
      <c r="E35" s="102"/>
      <c r="F35" s="102"/>
      <c r="G35" s="102"/>
      <c r="H35" s="140"/>
      <c r="I35" s="102"/>
      <c r="J35" s="140"/>
      <c r="K35" s="140"/>
      <c r="L35" s="129"/>
      <c r="M35" s="102" t="s">
        <v>357</v>
      </c>
      <c r="N35" s="102"/>
      <c r="O35" s="102"/>
      <c r="P35" s="102"/>
      <c r="Q35" s="102"/>
      <c r="R35" s="129"/>
      <c r="S35" s="102" t="s">
        <v>240</v>
      </c>
      <c r="T35" s="159"/>
      <c r="U35" s="181"/>
      <c r="V35" s="63" t="s">
        <v>7</v>
      </c>
      <c r="W35" s="95">
        <v>5</v>
      </c>
    </row>
    <row r="36" spans="1:23" x14ac:dyDescent="0.25">
      <c r="A36" s="106"/>
      <c r="B36" s="103"/>
      <c r="C36" s="104"/>
      <c r="D36" s="111"/>
      <c r="E36" s="111"/>
      <c r="F36" s="111"/>
      <c r="G36" s="111"/>
      <c r="H36" s="111"/>
      <c r="I36" s="139"/>
      <c r="J36" s="111"/>
      <c r="K36" s="111"/>
      <c r="L36" s="111"/>
      <c r="M36" s="111"/>
      <c r="N36" s="111"/>
      <c r="O36" s="111"/>
      <c r="P36" s="110"/>
      <c r="Q36" s="110"/>
      <c r="R36" s="110"/>
      <c r="S36" s="110"/>
      <c r="T36" s="110"/>
      <c r="V36" s="103"/>
      <c r="W36" s="103"/>
    </row>
  </sheetData>
  <mergeCells count="19">
    <mergeCell ref="W1:W4"/>
    <mergeCell ref="A6:A10"/>
    <mergeCell ref="A16:A20"/>
    <mergeCell ref="U6:U10"/>
    <mergeCell ref="U31:U35"/>
    <mergeCell ref="A26:A30"/>
    <mergeCell ref="U26:U30"/>
    <mergeCell ref="U16:U20"/>
    <mergeCell ref="V1:V4"/>
    <mergeCell ref="B1:B4"/>
    <mergeCell ref="A21:A25"/>
    <mergeCell ref="U11:U15"/>
    <mergeCell ref="A1:A4"/>
    <mergeCell ref="C1:C4"/>
    <mergeCell ref="U1:U4"/>
    <mergeCell ref="A31:A35"/>
    <mergeCell ref="U21:U25"/>
    <mergeCell ref="D5:T5"/>
    <mergeCell ref="A11:A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4к 9 кл, 3к 11 кл</vt:lpstr>
      <vt:lpstr>3к 9 кл, 2к 11 кл</vt:lpstr>
      <vt:lpstr>2к 9 кл, 1к 11 кл</vt:lpstr>
      <vt:lpstr>2к 11 кл, 2к 9 кл</vt:lpstr>
      <vt:lpstr>1к 11 кл</vt:lpstr>
      <vt:lpstr>1к 9 кл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Соколова Олеся Павловна</cp:lastModifiedBy>
  <dcterms:created xsi:type="dcterms:W3CDTF">2006-09-16T00:00:00Z</dcterms:created>
  <dcterms:modified xsi:type="dcterms:W3CDTF">2026-08-25T14:44:24Z</dcterms:modified>
</cp:coreProperties>
</file>